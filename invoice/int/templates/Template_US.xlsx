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#IMPORTANT\1. Dzikry\1. VERONIQUE\1. ALL INVOICE\2026\INVOICE\Otomatisasi_Customs\"/>
    </mc:Choice>
  </mc:AlternateContent>
  <xr:revisionPtr revIDLastSave="0" documentId="13_ncr:1_{BB7D38E8-92D5-4544-97B5-A9DC0FC1DC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ustoms Invoice" sheetId="1" r:id="rId1"/>
    <sheet name="PL" sheetId="4" r:id="rId2"/>
    <sheet name="US Customs Invoice" sheetId="8" r:id="rId3"/>
    <sheet name="US Customs Invoice GOLD" sheetId="10" r:id="rId4"/>
    <sheet name="US Customs Invoice LABOR" sheetId="11" r:id="rId5"/>
    <sheet name="Customs Invoice NON MAKLON" sheetId="12" r:id="rId6"/>
    <sheet name="Int. Customs Invoice" sheetId="9" state="hidden" r:id="rId7"/>
    <sheet name="Sheet2" sheetId="2" state="hidden" r:id="rId8"/>
    <sheet name="Sheet3" sheetId="7" state="hidden" r:id="rId9"/>
  </sheets>
  <definedNames>
    <definedName name="_xlnm.Print_Area" localSheetId="0">'Customs Invoice'!$A$1:$M$176</definedName>
    <definedName name="_xlnm.Print_Area" localSheetId="5">'Customs Invoice NON MAKLON'!$A$1:$L$176</definedName>
    <definedName name="_xlnm.Print_Area" localSheetId="6">'Int. Customs Invoice'!$A$1:$O$51</definedName>
    <definedName name="_xlnm.Print_Area" localSheetId="1">PL!$A$1:$M$174</definedName>
    <definedName name="_xlnm.Print_Area" localSheetId="2">'US Customs Invoice'!$A$1:$L$170</definedName>
    <definedName name="_xlnm.Print_Area" localSheetId="3">'US Customs Invoice GOLD'!$A$1:$L$170</definedName>
    <definedName name="_xlnm.Print_Area" localSheetId="4">'US Customs Invoice LABOR'!$A$1:$L$170</definedName>
    <definedName name="SILVERBASE" localSheetId="6">#REF!</definedName>
    <definedName name="SILVER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" i="1" l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21" i="1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21" i="12"/>
  <c r="J164" i="12"/>
  <c r="L166" i="12"/>
  <c r="L165" i="12"/>
  <c r="L167" i="12" s="1"/>
  <c r="G164" i="12"/>
  <c r="I164" i="12"/>
  <c r="K164" i="12"/>
  <c r="R164" i="12"/>
  <c r="S21" i="12"/>
  <c r="R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21" i="12"/>
  <c r="K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21" i="12"/>
  <c r="K8" i="12" l="1"/>
  <c r="K9" i="12"/>
  <c r="K7" i="12"/>
  <c r="K6" i="12"/>
  <c r="L4" i="12"/>
  <c r="K4" i="12"/>
  <c r="B17" i="12"/>
  <c r="B16" i="12"/>
  <c r="B15" i="12"/>
  <c r="B11" i="12"/>
  <c r="B12" i="12"/>
  <c r="B13" i="12"/>
  <c r="B14" i="12"/>
  <c r="B10" i="12"/>
  <c r="B9" i="12"/>
  <c r="P161" i="12"/>
  <c r="M161" i="12"/>
  <c r="L161" i="12"/>
  <c r="J161" i="12"/>
  <c r="I161" i="12"/>
  <c r="G161" i="12"/>
  <c r="K160" i="12"/>
  <c r="H160" i="12"/>
  <c r="E160" i="12"/>
  <c r="C160" i="12" s="1"/>
  <c r="D160" i="12"/>
  <c r="K159" i="12"/>
  <c r="H159" i="12"/>
  <c r="E159" i="12"/>
  <c r="D159" i="12"/>
  <c r="C159" i="12"/>
  <c r="K158" i="12"/>
  <c r="H158" i="12"/>
  <c r="E158" i="12"/>
  <c r="D158" i="12"/>
  <c r="C158" i="12"/>
  <c r="K157" i="12"/>
  <c r="H157" i="12"/>
  <c r="E157" i="12"/>
  <c r="C157" i="12" s="1"/>
  <c r="D157" i="12"/>
  <c r="K156" i="12"/>
  <c r="H156" i="12"/>
  <c r="E156" i="12"/>
  <c r="D156" i="12"/>
  <c r="C156" i="12"/>
  <c r="K155" i="12"/>
  <c r="H155" i="12"/>
  <c r="E155" i="12"/>
  <c r="D155" i="12"/>
  <c r="C155" i="12"/>
  <c r="K154" i="12"/>
  <c r="H154" i="12"/>
  <c r="E154" i="12"/>
  <c r="D154" i="12"/>
  <c r="C154" i="12"/>
  <c r="K153" i="12"/>
  <c r="H153" i="12"/>
  <c r="E153" i="12"/>
  <c r="C153" i="12" s="1"/>
  <c r="D153" i="12"/>
  <c r="K152" i="12"/>
  <c r="H152" i="12"/>
  <c r="E152" i="12"/>
  <c r="C152" i="12" s="1"/>
  <c r="D152" i="12"/>
  <c r="K151" i="12"/>
  <c r="H151" i="12"/>
  <c r="E151" i="12"/>
  <c r="D151" i="12"/>
  <c r="C151" i="12"/>
  <c r="K150" i="12"/>
  <c r="H150" i="12"/>
  <c r="E150" i="12"/>
  <c r="D150" i="12"/>
  <c r="C150" i="12"/>
  <c r="K149" i="12"/>
  <c r="H149" i="12"/>
  <c r="E149" i="12"/>
  <c r="C149" i="12" s="1"/>
  <c r="D149" i="12"/>
  <c r="K148" i="12"/>
  <c r="H148" i="12"/>
  <c r="E148" i="12"/>
  <c r="D148" i="12"/>
  <c r="C148" i="12"/>
  <c r="K147" i="12"/>
  <c r="H147" i="12"/>
  <c r="E147" i="12"/>
  <c r="D147" i="12"/>
  <c r="C147" i="12"/>
  <c r="K146" i="12"/>
  <c r="H146" i="12"/>
  <c r="E146" i="12"/>
  <c r="D146" i="12"/>
  <c r="C146" i="12"/>
  <c r="K145" i="12"/>
  <c r="H145" i="12"/>
  <c r="E145" i="12"/>
  <c r="C145" i="12" s="1"/>
  <c r="D145" i="12"/>
  <c r="K144" i="12"/>
  <c r="H144" i="12"/>
  <c r="E144" i="12"/>
  <c r="C144" i="12" s="1"/>
  <c r="D144" i="12"/>
  <c r="K143" i="12"/>
  <c r="H143" i="12"/>
  <c r="E143" i="12"/>
  <c r="D143" i="12"/>
  <c r="C143" i="12"/>
  <c r="K142" i="12"/>
  <c r="H142" i="12"/>
  <c r="E142" i="12"/>
  <c r="D142" i="12"/>
  <c r="C142" i="12"/>
  <c r="K141" i="12"/>
  <c r="H141" i="12"/>
  <c r="E141" i="12"/>
  <c r="C141" i="12" s="1"/>
  <c r="D141" i="12"/>
  <c r="P137" i="12"/>
  <c r="M137" i="12"/>
  <c r="L137" i="12"/>
  <c r="J137" i="12"/>
  <c r="I137" i="12"/>
  <c r="G137" i="12"/>
  <c r="K136" i="12"/>
  <c r="H136" i="12"/>
  <c r="E136" i="12"/>
  <c r="D136" i="12"/>
  <c r="C136" i="12"/>
  <c r="K135" i="12"/>
  <c r="H135" i="12"/>
  <c r="E135" i="12"/>
  <c r="C135" i="12" s="1"/>
  <c r="D135" i="12"/>
  <c r="K134" i="12"/>
  <c r="H134" i="12"/>
  <c r="E134" i="12"/>
  <c r="D134" i="12"/>
  <c r="C134" i="12"/>
  <c r="K133" i="12"/>
  <c r="H133" i="12"/>
  <c r="E133" i="12"/>
  <c r="D133" i="12"/>
  <c r="C133" i="12"/>
  <c r="K132" i="12"/>
  <c r="H132" i="12"/>
  <c r="E132" i="12"/>
  <c r="D132" i="12"/>
  <c r="C132" i="12"/>
  <c r="K131" i="12"/>
  <c r="H131" i="12"/>
  <c r="E131" i="12"/>
  <c r="C131" i="12" s="1"/>
  <c r="D131" i="12"/>
  <c r="K130" i="12"/>
  <c r="H130" i="12"/>
  <c r="E130" i="12"/>
  <c r="C130" i="12" s="1"/>
  <c r="D130" i="12"/>
  <c r="K129" i="12"/>
  <c r="H129" i="12"/>
  <c r="E129" i="12"/>
  <c r="D129" i="12"/>
  <c r="C129" i="12"/>
  <c r="K128" i="12"/>
  <c r="H128" i="12"/>
  <c r="E128" i="12"/>
  <c r="D128" i="12"/>
  <c r="C128" i="12"/>
  <c r="K127" i="12"/>
  <c r="H127" i="12"/>
  <c r="E127" i="12"/>
  <c r="C127" i="12" s="1"/>
  <c r="D127" i="12"/>
  <c r="K126" i="12"/>
  <c r="H126" i="12"/>
  <c r="E126" i="12"/>
  <c r="D126" i="12"/>
  <c r="C126" i="12"/>
  <c r="K125" i="12"/>
  <c r="H125" i="12"/>
  <c r="E125" i="12"/>
  <c r="D125" i="12"/>
  <c r="C125" i="12"/>
  <c r="K124" i="12"/>
  <c r="H124" i="12"/>
  <c r="E124" i="12"/>
  <c r="D124" i="12"/>
  <c r="C124" i="12"/>
  <c r="K123" i="12"/>
  <c r="H123" i="12"/>
  <c r="E123" i="12"/>
  <c r="C123" i="12" s="1"/>
  <c r="D123" i="12"/>
  <c r="K122" i="12"/>
  <c r="H122" i="12"/>
  <c r="E122" i="12"/>
  <c r="C122" i="12" s="1"/>
  <c r="D122" i="12"/>
  <c r="K121" i="12"/>
  <c r="H121" i="12"/>
  <c r="E121" i="12"/>
  <c r="D121" i="12"/>
  <c r="C121" i="12"/>
  <c r="K120" i="12"/>
  <c r="H120" i="12"/>
  <c r="E120" i="12"/>
  <c r="D120" i="12"/>
  <c r="C120" i="12"/>
  <c r="K119" i="12"/>
  <c r="H119" i="12"/>
  <c r="E119" i="12"/>
  <c r="C119" i="12" s="1"/>
  <c r="D119" i="12"/>
  <c r="K118" i="12"/>
  <c r="H118" i="12"/>
  <c r="E118" i="12"/>
  <c r="D118" i="12"/>
  <c r="C118" i="12"/>
  <c r="K117" i="12"/>
  <c r="H117" i="12"/>
  <c r="E117" i="12"/>
  <c r="D117" i="12"/>
  <c r="C117" i="12"/>
  <c r="P113" i="12"/>
  <c r="M113" i="12"/>
  <c r="L113" i="12"/>
  <c r="J113" i="12"/>
  <c r="I113" i="12"/>
  <c r="G113" i="12"/>
  <c r="K112" i="12"/>
  <c r="H112" i="12"/>
  <c r="E112" i="12"/>
  <c r="D112" i="12"/>
  <c r="C112" i="12"/>
  <c r="K111" i="12"/>
  <c r="H111" i="12"/>
  <c r="E111" i="12"/>
  <c r="D111" i="12"/>
  <c r="C111" i="12"/>
  <c r="K110" i="12"/>
  <c r="H110" i="12"/>
  <c r="E110" i="12"/>
  <c r="D110" i="12"/>
  <c r="C110" i="12"/>
  <c r="K109" i="12"/>
  <c r="H109" i="12"/>
  <c r="E109" i="12"/>
  <c r="C109" i="12" s="1"/>
  <c r="D109" i="12"/>
  <c r="K108" i="12"/>
  <c r="H108" i="12"/>
  <c r="E108" i="12"/>
  <c r="C108" i="12" s="1"/>
  <c r="D108" i="12"/>
  <c r="K107" i="12"/>
  <c r="H107" i="12"/>
  <c r="E107" i="12"/>
  <c r="D107" i="12"/>
  <c r="C107" i="12"/>
  <c r="K106" i="12"/>
  <c r="H106" i="12"/>
  <c r="E106" i="12"/>
  <c r="D106" i="12"/>
  <c r="C106" i="12"/>
  <c r="K105" i="12"/>
  <c r="H105" i="12"/>
  <c r="E105" i="12"/>
  <c r="C105" i="12" s="1"/>
  <c r="D105" i="12"/>
  <c r="K104" i="12"/>
  <c r="H104" i="12"/>
  <c r="E104" i="12"/>
  <c r="D104" i="12"/>
  <c r="C104" i="12"/>
  <c r="K103" i="12"/>
  <c r="H103" i="12"/>
  <c r="E103" i="12"/>
  <c r="D103" i="12"/>
  <c r="C103" i="12"/>
  <c r="K102" i="12"/>
  <c r="H102" i="12"/>
  <c r="E102" i="12"/>
  <c r="D102" i="12"/>
  <c r="C102" i="12"/>
  <c r="K101" i="12"/>
  <c r="H101" i="12"/>
  <c r="E101" i="12"/>
  <c r="C101" i="12" s="1"/>
  <c r="D101" i="12"/>
  <c r="K100" i="12"/>
  <c r="H100" i="12"/>
  <c r="E100" i="12"/>
  <c r="C100" i="12" s="1"/>
  <c r="D100" i="12"/>
  <c r="K99" i="12"/>
  <c r="H99" i="12"/>
  <c r="E99" i="12"/>
  <c r="D99" i="12"/>
  <c r="C99" i="12"/>
  <c r="K98" i="12"/>
  <c r="H98" i="12"/>
  <c r="E98" i="12"/>
  <c r="D98" i="12"/>
  <c r="C98" i="12"/>
  <c r="K97" i="12"/>
  <c r="H97" i="12"/>
  <c r="E97" i="12"/>
  <c r="C97" i="12" s="1"/>
  <c r="D97" i="12"/>
  <c r="K96" i="12"/>
  <c r="H96" i="12"/>
  <c r="E96" i="12"/>
  <c r="D96" i="12"/>
  <c r="C96" i="12"/>
  <c r="K95" i="12"/>
  <c r="H95" i="12"/>
  <c r="E95" i="12"/>
  <c r="D95" i="12"/>
  <c r="C95" i="12"/>
  <c r="K94" i="12"/>
  <c r="H94" i="12"/>
  <c r="E94" i="12"/>
  <c r="D94" i="12"/>
  <c r="C94" i="12"/>
  <c r="K93" i="12"/>
  <c r="H93" i="12"/>
  <c r="E93" i="12"/>
  <c r="C93" i="12" s="1"/>
  <c r="D93" i="12"/>
  <c r="P89" i="12"/>
  <c r="M89" i="12"/>
  <c r="L89" i="12"/>
  <c r="J89" i="12"/>
  <c r="I89" i="12"/>
  <c r="G89" i="12"/>
  <c r="K88" i="12"/>
  <c r="H88" i="12"/>
  <c r="E88" i="12"/>
  <c r="D88" i="12"/>
  <c r="C88" i="12"/>
  <c r="K87" i="12"/>
  <c r="H87" i="12"/>
  <c r="E87" i="12"/>
  <c r="C87" i="12" s="1"/>
  <c r="D87" i="12"/>
  <c r="K86" i="12"/>
  <c r="H86" i="12"/>
  <c r="E86" i="12"/>
  <c r="C86" i="12" s="1"/>
  <c r="D86" i="12"/>
  <c r="K85" i="12"/>
  <c r="H85" i="12"/>
  <c r="E85" i="12"/>
  <c r="D85" i="12"/>
  <c r="C85" i="12"/>
  <c r="K84" i="12"/>
  <c r="H84" i="12"/>
  <c r="E84" i="12"/>
  <c r="D84" i="12"/>
  <c r="C84" i="12"/>
  <c r="K83" i="12"/>
  <c r="H83" i="12"/>
  <c r="E83" i="12"/>
  <c r="C83" i="12" s="1"/>
  <c r="D83" i="12"/>
  <c r="K82" i="12"/>
  <c r="H82" i="12"/>
  <c r="E82" i="12"/>
  <c r="D82" i="12"/>
  <c r="C82" i="12"/>
  <c r="K81" i="12"/>
  <c r="H81" i="12"/>
  <c r="E81" i="12"/>
  <c r="D81" i="12"/>
  <c r="C81" i="12"/>
  <c r="K80" i="12"/>
  <c r="H80" i="12"/>
  <c r="E80" i="12"/>
  <c r="D80" i="12"/>
  <c r="C80" i="12"/>
  <c r="K79" i="12"/>
  <c r="H79" i="12"/>
  <c r="E79" i="12"/>
  <c r="C79" i="12" s="1"/>
  <c r="D79" i="12"/>
  <c r="K78" i="12"/>
  <c r="H78" i="12"/>
  <c r="E78" i="12"/>
  <c r="C78" i="12" s="1"/>
  <c r="D78" i="12"/>
  <c r="K77" i="12"/>
  <c r="H77" i="12"/>
  <c r="E77" i="12"/>
  <c r="D77" i="12"/>
  <c r="C77" i="12"/>
  <c r="K76" i="12"/>
  <c r="H76" i="12"/>
  <c r="E76" i="12"/>
  <c r="D76" i="12"/>
  <c r="C76" i="12"/>
  <c r="K75" i="12"/>
  <c r="H75" i="12"/>
  <c r="E75" i="12"/>
  <c r="C75" i="12" s="1"/>
  <c r="D75" i="12"/>
  <c r="K74" i="12"/>
  <c r="H74" i="12"/>
  <c r="E74" i="12"/>
  <c r="D74" i="12"/>
  <c r="C74" i="12"/>
  <c r="K73" i="12"/>
  <c r="H73" i="12"/>
  <c r="E73" i="12"/>
  <c r="D73" i="12"/>
  <c r="C73" i="12"/>
  <c r="K72" i="12"/>
  <c r="H72" i="12"/>
  <c r="E72" i="12"/>
  <c r="D72" i="12"/>
  <c r="C72" i="12"/>
  <c r="K71" i="12"/>
  <c r="H71" i="12"/>
  <c r="E71" i="12"/>
  <c r="C71" i="12" s="1"/>
  <c r="D71" i="12"/>
  <c r="K70" i="12"/>
  <c r="H70" i="12"/>
  <c r="E70" i="12"/>
  <c r="C70" i="12" s="1"/>
  <c r="D70" i="12"/>
  <c r="K69" i="12"/>
  <c r="H69" i="12"/>
  <c r="E69" i="12"/>
  <c r="D69" i="12"/>
  <c r="C69" i="12"/>
  <c r="P65" i="12"/>
  <c r="M65" i="12"/>
  <c r="L65" i="12"/>
  <c r="J65" i="12"/>
  <c r="I65" i="12"/>
  <c r="G65" i="12"/>
  <c r="K64" i="12"/>
  <c r="H64" i="12"/>
  <c r="E64" i="12"/>
  <c r="C64" i="12" s="1"/>
  <c r="D64" i="12"/>
  <c r="K63" i="12"/>
  <c r="H63" i="12"/>
  <c r="E63" i="12"/>
  <c r="D63" i="12"/>
  <c r="C63" i="12"/>
  <c r="K62" i="12"/>
  <c r="H62" i="12"/>
  <c r="E62" i="12"/>
  <c r="D62" i="12"/>
  <c r="C62" i="12"/>
  <c r="K61" i="12"/>
  <c r="H61" i="12"/>
  <c r="E61" i="12"/>
  <c r="C61" i="12" s="1"/>
  <c r="D61" i="12"/>
  <c r="K60" i="12"/>
  <c r="H60" i="12"/>
  <c r="E60" i="12"/>
  <c r="D60" i="12"/>
  <c r="C60" i="12"/>
  <c r="K59" i="12"/>
  <c r="H59" i="12"/>
  <c r="E59" i="12"/>
  <c r="D59" i="12"/>
  <c r="C59" i="12"/>
  <c r="K58" i="12"/>
  <c r="H58" i="12"/>
  <c r="E58" i="12"/>
  <c r="D58" i="12"/>
  <c r="C58" i="12"/>
  <c r="K57" i="12"/>
  <c r="H57" i="12"/>
  <c r="E57" i="12"/>
  <c r="C57" i="12" s="1"/>
  <c r="D57" i="12"/>
  <c r="K56" i="12"/>
  <c r="H56" i="12"/>
  <c r="E56" i="12"/>
  <c r="C56" i="12" s="1"/>
  <c r="D56" i="12"/>
  <c r="K55" i="12"/>
  <c r="H55" i="12"/>
  <c r="E55" i="12"/>
  <c r="D55" i="12"/>
  <c r="C55" i="12"/>
  <c r="K54" i="12"/>
  <c r="H54" i="12"/>
  <c r="E54" i="12"/>
  <c r="C54" i="12" s="1"/>
  <c r="D54" i="12"/>
  <c r="K53" i="12"/>
  <c r="H53" i="12"/>
  <c r="E53" i="12"/>
  <c r="C53" i="12" s="1"/>
  <c r="D53" i="12"/>
  <c r="K52" i="12"/>
  <c r="H52" i="12"/>
  <c r="E52" i="12"/>
  <c r="D52" i="12"/>
  <c r="C52" i="12"/>
  <c r="K51" i="12"/>
  <c r="H51" i="12"/>
  <c r="E51" i="12"/>
  <c r="D51" i="12"/>
  <c r="C51" i="12"/>
  <c r="K50" i="12"/>
  <c r="H50" i="12"/>
  <c r="E50" i="12"/>
  <c r="D50" i="12"/>
  <c r="C50" i="12"/>
  <c r="K49" i="12"/>
  <c r="H49" i="12"/>
  <c r="E49" i="12"/>
  <c r="C49" i="12" s="1"/>
  <c r="D49" i="12"/>
  <c r="K48" i="12"/>
  <c r="H48" i="12"/>
  <c r="E48" i="12"/>
  <c r="C48" i="12" s="1"/>
  <c r="D48" i="12"/>
  <c r="K47" i="12"/>
  <c r="H47" i="12"/>
  <c r="E47" i="12"/>
  <c r="D47" i="12"/>
  <c r="C47" i="12"/>
  <c r="K46" i="12"/>
  <c r="H46" i="12"/>
  <c r="E46" i="12"/>
  <c r="C46" i="12" s="1"/>
  <c r="D46" i="12"/>
  <c r="K45" i="12"/>
  <c r="H45" i="12"/>
  <c r="E45" i="12"/>
  <c r="C45" i="12" s="1"/>
  <c r="D45" i="12"/>
  <c r="P41" i="12"/>
  <c r="O41" i="12"/>
  <c r="N41" i="12"/>
  <c r="M41" i="12"/>
  <c r="M164" i="12" s="1"/>
  <c r="L41" i="12"/>
  <c r="I41" i="12"/>
  <c r="J41" i="12" s="1"/>
  <c r="G41" i="12"/>
  <c r="S40" i="12"/>
  <c r="R40" i="12"/>
  <c r="K40" i="12"/>
  <c r="S39" i="12"/>
  <c r="R39" i="12"/>
  <c r="K39" i="12"/>
  <c r="S38" i="12"/>
  <c r="R38" i="12"/>
  <c r="K38" i="12"/>
  <c r="S37" i="12"/>
  <c r="R37" i="12"/>
  <c r="K37" i="12"/>
  <c r="S36" i="12"/>
  <c r="R36" i="12"/>
  <c r="K36" i="12"/>
  <c r="S35" i="12"/>
  <c r="R35" i="12"/>
  <c r="K35" i="12"/>
  <c r="S34" i="12"/>
  <c r="R34" i="12"/>
  <c r="K34" i="12"/>
  <c r="S33" i="12"/>
  <c r="R33" i="12"/>
  <c r="K33" i="12"/>
  <c r="S32" i="12"/>
  <c r="R32" i="12"/>
  <c r="K32" i="12"/>
  <c r="S31" i="12"/>
  <c r="R31" i="12"/>
  <c r="K31" i="12"/>
  <c r="S30" i="12"/>
  <c r="R30" i="12"/>
  <c r="K30" i="12"/>
  <c r="S29" i="12"/>
  <c r="R29" i="12"/>
  <c r="K29" i="12"/>
  <c r="S28" i="12"/>
  <c r="R28" i="12"/>
  <c r="K28" i="12"/>
  <c r="S27" i="12"/>
  <c r="R27" i="12"/>
  <c r="K27" i="12"/>
  <c r="S26" i="12"/>
  <c r="R26" i="12"/>
  <c r="K26" i="12"/>
  <c r="S25" i="12"/>
  <c r="R25" i="12"/>
  <c r="K25" i="12"/>
  <c r="S24" i="12"/>
  <c r="R24" i="12"/>
  <c r="K24" i="12"/>
  <c r="S23" i="12"/>
  <c r="R23" i="12"/>
  <c r="K23" i="12"/>
  <c r="S22" i="12"/>
  <c r="R22" i="12"/>
  <c r="K22" i="12"/>
  <c r="L4" i="4"/>
  <c r="K4" i="11"/>
  <c r="K4" i="10"/>
  <c r="K4" i="8"/>
  <c r="K39" i="11"/>
  <c r="K37" i="11"/>
  <c r="K35" i="11"/>
  <c r="K33" i="11"/>
  <c r="K31" i="11"/>
  <c r="K29" i="11"/>
  <c r="K27" i="11"/>
  <c r="K25" i="11"/>
  <c r="K23" i="11"/>
  <c r="K21" i="11"/>
  <c r="K39" i="10"/>
  <c r="K37" i="10"/>
  <c r="K35" i="10"/>
  <c r="K33" i="10"/>
  <c r="K31" i="10"/>
  <c r="K29" i="10"/>
  <c r="K27" i="10"/>
  <c r="K25" i="10"/>
  <c r="K23" i="10"/>
  <c r="K21" i="10"/>
  <c r="B142" i="11" l="1"/>
  <c r="B144" i="11" s="1"/>
  <c r="B146" i="11" s="1"/>
  <c r="B148" i="11" s="1"/>
  <c r="B150" i="11" s="1"/>
  <c r="B152" i="11" s="1"/>
  <c r="B154" i="11" s="1"/>
  <c r="B156" i="11" s="1"/>
  <c r="B158" i="11" s="1"/>
  <c r="B160" i="11" s="1"/>
  <c r="L135" i="11"/>
  <c r="J135" i="11"/>
  <c r="I135" i="11"/>
  <c r="H135" i="11"/>
  <c r="G135" i="11"/>
  <c r="F135" i="11"/>
  <c r="F136" i="11" s="1"/>
  <c r="D136" i="11" s="1"/>
  <c r="E135" i="11"/>
  <c r="C135" i="11"/>
  <c r="B135" i="11"/>
  <c r="L133" i="11"/>
  <c r="J133" i="11"/>
  <c r="I133" i="11"/>
  <c r="H133" i="11"/>
  <c r="G133" i="11"/>
  <c r="F133" i="11"/>
  <c r="F134" i="11" s="1"/>
  <c r="D134" i="11" s="1"/>
  <c r="E133" i="11"/>
  <c r="C133" i="11"/>
  <c r="B133" i="11"/>
  <c r="L131" i="11"/>
  <c r="J131" i="11"/>
  <c r="I131" i="11"/>
  <c r="H131" i="11"/>
  <c r="G131" i="11"/>
  <c r="F131" i="11"/>
  <c r="F132" i="11" s="1"/>
  <c r="D132" i="11" s="1"/>
  <c r="E131" i="11"/>
  <c r="D131" i="11"/>
  <c r="C131" i="11"/>
  <c r="B131" i="11"/>
  <c r="L129" i="11"/>
  <c r="J129" i="11"/>
  <c r="I129" i="11"/>
  <c r="H129" i="11"/>
  <c r="G129" i="11"/>
  <c r="K129" i="11" s="1"/>
  <c r="F129" i="11"/>
  <c r="F130" i="11" s="1"/>
  <c r="D130" i="11" s="1"/>
  <c r="E129" i="11"/>
  <c r="C129" i="11"/>
  <c r="B129" i="11"/>
  <c r="F128" i="11"/>
  <c r="D128" i="11" s="1"/>
  <c r="L127" i="11"/>
  <c r="K127" i="11" s="1"/>
  <c r="J127" i="11"/>
  <c r="I127" i="11"/>
  <c r="H127" i="11"/>
  <c r="G127" i="11"/>
  <c r="F127" i="11"/>
  <c r="E127" i="11"/>
  <c r="D127" i="11"/>
  <c r="C127" i="11"/>
  <c r="B127" i="11"/>
  <c r="L125" i="11"/>
  <c r="J125" i="11"/>
  <c r="I125" i="11"/>
  <c r="H125" i="11"/>
  <c r="G125" i="11"/>
  <c r="F125" i="11"/>
  <c r="F126" i="11" s="1"/>
  <c r="D126" i="11" s="1"/>
  <c r="E125" i="11"/>
  <c r="C125" i="11"/>
  <c r="B125" i="11"/>
  <c r="L123" i="11"/>
  <c r="J123" i="11"/>
  <c r="I123" i="11"/>
  <c r="H123" i="11"/>
  <c r="G123" i="11"/>
  <c r="F123" i="11"/>
  <c r="D123" i="11" s="1"/>
  <c r="E123" i="11"/>
  <c r="C123" i="11"/>
  <c r="B123" i="11"/>
  <c r="L121" i="11"/>
  <c r="J121" i="11"/>
  <c r="I121" i="11"/>
  <c r="H121" i="11"/>
  <c r="G121" i="11"/>
  <c r="F121" i="11"/>
  <c r="F122" i="11" s="1"/>
  <c r="D122" i="11" s="1"/>
  <c r="E121" i="11"/>
  <c r="C121" i="11"/>
  <c r="B121" i="11"/>
  <c r="L119" i="11"/>
  <c r="J119" i="11"/>
  <c r="I119" i="11"/>
  <c r="H119" i="11"/>
  <c r="G119" i="11"/>
  <c r="K119" i="11" s="1"/>
  <c r="F119" i="11"/>
  <c r="F120" i="11" s="1"/>
  <c r="D120" i="11" s="1"/>
  <c r="E119" i="11"/>
  <c r="C119" i="11"/>
  <c r="B119" i="11"/>
  <c r="L117" i="11"/>
  <c r="J117" i="11"/>
  <c r="I117" i="11"/>
  <c r="H117" i="11"/>
  <c r="G117" i="11"/>
  <c r="F117" i="11"/>
  <c r="F118" i="11" s="1"/>
  <c r="D118" i="11" s="1"/>
  <c r="E117" i="11"/>
  <c r="C117" i="11"/>
  <c r="B117" i="11"/>
  <c r="L111" i="11"/>
  <c r="J111" i="11"/>
  <c r="I111" i="11"/>
  <c r="H111" i="11"/>
  <c r="G111" i="11"/>
  <c r="K111" i="11" s="1"/>
  <c r="F111" i="11"/>
  <c r="F112" i="11" s="1"/>
  <c r="D112" i="11" s="1"/>
  <c r="E111" i="11"/>
  <c r="C111" i="11"/>
  <c r="B111" i="11"/>
  <c r="L109" i="11"/>
  <c r="K109" i="11" s="1"/>
  <c r="J109" i="11"/>
  <c r="I109" i="11"/>
  <c r="H109" i="11"/>
  <c r="G109" i="11"/>
  <c r="F109" i="11"/>
  <c r="F110" i="11" s="1"/>
  <c r="D110" i="11" s="1"/>
  <c r="E109" i="11"/>
  <c r="C109" i="11"/>
  <c r="B109" i="11"/>
  <c r="L107" i="11"/>
  <c r="K107" i="11" s="1"/>
  <c r="J107" i="11"/>
  <c r="I107" i="11"/>
  <c r="H107" i="11"/>
  <c r="G107" i="11"/>
  <c r="F107" i="11"/>
  <c r="F108" i="11" s="1"/>
  <c r="D108" i="11" s="1"/>
  <c r="E107" i="11"/>
  <c r="C107" i="11"/>
  <c r="B107" i="11"/>
  <c r="L105" i="11"/>
  <c r="J105" i="11"/>
  <c r="I105" i="11"/>
  <c r="H105" i="11"/>
  <c r="G105" i="11"/>
  <c r="F105" i="11"/>
  <c r="F106" i="11" s="1"/>
  <c r="D106" i="11" s="1"/>
  <c r="E105" i="11"/>
  <c r="C105" i="11"/>
  <c r="B105" i="11"/>
  <c r="L103" i="11"/>
  <c r="J103" i="11"/>
  <c r="I103" i="11"/>
  <c r="H103" i="11"/>
  <c r="G103" i="11"/>
  <c r="F103" i="11"/>
  <c r="F104" i="11" s="1"/>
  <c r="D104" i="11" s="1"/>
  <c r="E103" i="11"/>
  <c r="C103" i="11"/>
  <c r="B103" i="11"/>
  <c r="L101" i="11"/>
  <c r="J101" i="11"/>
  <c r="I101" i="11"/>
  <c r="H101" i="11"/>
  <c r="G101" i="11"/>
  <c r="F101" i="11"/>
  <c r="F102" i="11" s="1"/>
  <c r="D102" i="11" s="1"/>
  <c r="E101" i="11"/>
  <c r="C101" i="11"/>
  <c r="B101" i="11"/>
  <c r="L99" i="11"/>
  <c r="J99" i="11"/>
  <c r="I99" i="11"/>
  <c r="H99" i="11"/>
  <c r="G99" i="11"/>
  <c r="F99" i="11"/>
  <c r="F100" i="11" s="1"/>
  <c r="D100" i="11" s="1"/>
  <c r="E99" i="11"/>
  <c r="D99" i="11"/>
  <c r="C99" i="11"/>
  <c r="B99" i="11"/>
  <c r="L97" i="11"/>
  <c r="K97" i="11" s="1"/>
  <c r="J97" i="11"/>
  <c r="I97" i="11"/>
  <c r="H97" i="11"/>
  <c r="G97" i="11"/>
  <c r="F97" i="11"/>
  <c r="F98" i="11" s="1"/>
  <c r="D98" i="11" s="1"/>
  <c r="E97" i="11"/>
  <c r="C97" i="11"/>
  <c r="B97" i="11"/>
  <c r="L95" i="11"/>
  <c r="J95" i="11"/>
  <c r="I95" i="11"/>
  <c r="H95" i="11"/>
  <c r="G95" i="11"/>
  <c r="F95" i="11"/>
  <c r="D95" i="11" s="1"/>
  <c r="E95" i="11"/>
  <c r="C95" i="11"/>
  <c r="B95" i="11"/>
  <c r="L93" i="11"/>
  <c r="J93" i="11"/>
  <c r="I93" i="11"/>
  <c r="H93" i="11"/>
  <c r="G93" i="11"/>
  <c r="F93" i="11"/>
  <c r="F94" i="11" s="1"/>
  <c r="D94" i="11" s="1"/>
  <c r="E93" i="11"/>
  <c r="C93" i="11"/>
  <c r="B93" i="11"/>
  <c r="L87" i="11"/>
  <c r="J87" i="11"/>
  <c r="I87" i="11"/>
  <c r="H87" i="11"/>
  <c r="G87" i="11"/>
  <c r="F87" i="11"/>
  <c r="F88" i="11" s="1"/>
  <c r="D88" i="11" s="1"/>
  <c r="E87" i="11"/>
  <c r="C87" i="11"/>
  <c r="B87" i="11"/>
  <c r="L85" i="11"/>
  <c r="K85" i="11"/>
  <c r="J85" i="11"/>
  <c r="I85" i="11"/>
  <c r="H85" i="11"/>
  <c r="G85" i="11"/>
  <c r="F85" i="11"/>
  <c r="F86" i="11" s="1"/>
  <c r="D86" i="11" s="1"/>
  <c r="E85" i="11"/>
  <c r="C85" i="11"/>
  <c r="B85" i="11"/>
  <c r="L83" i="11"/>
  <c r="J83" i="11"/>
  <c r="I83" i="11"/>
  <c r="H83" i="11"/>
  <c r="G83" i="11"/>
  <c r="F83" i="11"/>
  <c r="D83" i="11" s="1"/>
  <c r="E83" i="11"/>
  <c r="C83" i="11"/>
  <c r="B83" i="11"/>
  <c r="L81" i="11"/>
  <c r="J81" i="11"/>
  <c r="I81" i="11"/>
  <c r="H81" i="11"/>
  <c r="G81" i="11"/>
  <c r="F81" i="11"/>
  <c r="F82" i="11" s="1"/>
  <c r="D82" i="11" s="1"/>
  <c r="E81" i="11"/>
  <c r="C81" i="11"/>
  <c r="B81" i="11"/>
  <c r="L79" i="11"/>
  <c r="K79" i="11" s="1"/>
  <c r="J79" i="11"/>
  <c r="I79" i="11"/>
  <c r="H79" i="11"/>
  <c r="G79" i="11"/>
  <c r="F79" i="11"/>
  <c r="F80" i="11" s="1"/>
  <c r="D80" i="11" s="1"/>
  <c r="E79" i="11"/>
  <c r="C79" i="11"/>
  <c r="B79" i="11"/>
  <c r="L77" i="11"/>
  <c r="J77" i="11"/>
  <c r="I77" i="11"/>
  <c r="H77" i="11"/>
  <c r="G77" i="11"/>
  <c r="F77" i="11"/>
  <c r="F78" i="11" s="1"/>
  <c r="D78" i="11" s="1"/>
  <c r="E77" i="11"/>
  <c r="D77" i="11"/>
  <c r="C77" i="11"/>
  <c r="B77" i="11"/>
  <c r="L75" i="11"/>
  <c r="J75" i="11"/>
  <c r="I75" i="11"/>
  <c r="H75" i="11"/>
  <c r="G75" i="11"/>
  <c r="F75" i="11"/>
  <c r="F76" i="11" s="1"/>
  <c r="D76" i="11" s="1"/>
  <c r="E75" i="11"/>
  <c r="C75" i="11"/>
  <c r="B75" i="11"/>
  <c r="L73" i="11"/>
  <c r="J73" i="11"/>
  <c r="I73" i="11"/>
  <c r="H73" i="11"/>
  <c r="G73" i="11"/>
  <c r="F73" i="11"/>
  <c r="F74" i="11" s="1"/>
  <c r="D74" i="11" s="1"/>
  <c r="E73" i="11"/>
  <c r="C73" i="11"/>
  <c r="B73" i="11"/>
  <c r="L71" i="11"/>
  <c r="J71" i="11"/>
  <c r="I71" i="11"/>
  <c r="H71" i="11"/>
  <c r="G71" i="11"/>
  <c r="F71" i="11"/>
  <c r="F72" i="11" s="1"/>
  <c r="D72" i="11" s="1"/>
  <c r="E71" i="11"/>
  <c r="D71" i="11"/>
  <c r="C71" i="11"/>
  <c r="B71" i="11"/>
  <c r="L69" i="11"/>
  <c r="K69" i="11" s="1"/>
  <c r="J69" i="11"/>
  <c r="I69" i="11"/>
  <c r="H69" i="11"/>
  <c r="G69" i="11"/>
  <c r="F69" i="11"/>
  <c r="F70" i="11" s="1"/>
  <c r="D70" i="11" s="1"/>
  <c r="E69" i="11"/>
  <c r="D69" i="11"/>
  <c r="C69" i="11"/>
  <c r="B69" i="11"/>
  <c r="L63" i="11"/>
  <c r="J63" i="11"/>
  <c r="I63" i="11"/>
  <c r="H63" i="11"/>
  <c r="G63" i="11"/>
  <c r="F63" i="11"/>
  <c r="F64" i="11" s="1"/>
  <c r="D64" i="11" s="1"/>
  <c r="E63" i="11"/>
  <c r="C63" i="11"/>
  <c r="B63" i="11"/>
  <c r="L61" i="11"/>
  <c r="J61" i="11"/>
  <c r="I61" i="11"/>
  <c r="H61" i="11"/>
  <c r="G61" i="11"/>
  <c r="F61" i="11"/>
  <c r="F62" i="11" s="1"/>
  <c r="D62" i="11" s="1"/>
  <c r="E61" i="11"/>
  <c r="C61" i="11"/>
  <c r="B61" i="11"/>
  <c r="L59" i="11"/>
  <c r="J59" i="11"/>
  <c r="I59" i="11"/>
  <c r="H59" i="11"/>
  <c r="G59" i="11"/>
  <c r="F59" i="11"/>
  <c r="F60" i="11" s="1"/>
  <c r="D60" i="11" s="1"/>
  <c r="E59" i="11"/>
  <c r="D59" i="11"/>
  <c r="C59" i="11"/>
  <c r="B59" i="11"/>
  <c r="L57" i="11"/>
  <c r="K57" i="11" s="1"/>
  <c r="J57" i="11"/>
  <c r="I57" i="11"/>
  <c r="H57" i="11"/>
  <c r="G57" i="11"/>
  <c r="F57" i="11"/>
  <c r="F58" i="11" s="1"/>
  <c r="D58" i="11" s="1"/>
  <c r="E57" i="11"/>
  <c r="D57" i="11"/>
  <c r="C57" i="11"/>
  <c r="B57" i="11"/>
  <c r="L55" i="11"/>
  <c r="J55" i="11"/>
  <c r="I55" i="11"/>
  <c r="H55" i="11"/>
  <c r="G55" i="11"/>
  <c r="K55" i="11" s="1"/>
  <c r="F55" i="11"/>
  <c r="D55" i="11" s="1"/>
  <c r="E55" i="11"/>
  <c r="C55" i="11"/>
  <c r="B55" i="11"/>
  <c r="L53" i="11"/>
  <c r="J53" i="11"/>
  <c r="I53" i="11"/>
  <c r="H53" i="11"/>
  <c r="G53" i="11"/>
  <c r="F53" i="11"/>
  <c r="F54" i="11" s="1"/>
  <c r="D54" i="11" s="1"/>
  <c r="E53" i="11"/>
  <c r="C53" i="11"/>
  <c r="B53" i="11"/>
  <c r="L51" i="11"/>
  <c r="K51" i="11" s="1"/>
  <c r="J51" i="11"/>
  <c r="I51" i="11"/>
  <c r="H51" i="11"/>
  <c r="G51" i="11"/>
  <c r="F51" i="11"/>
  <c r="F52" i="11" s="1"/>
  <c r="D52" i="11" s="1"/>
  <c r="E51" i="11"/>
  <c r="C51" i="11"/>
  <c r="B51" i="11"/>
  <c r="L49" i="11"/>
  <c r="K49" i="11" s="1"/>
  <c r="J49" i="11"/>
  <c r="I49" i="11"/>
  <c r="H49" i="11"/>
  <c r="G49" i="11"/>
  <c r="F49" i="11"/>
  <c r="F50" i="11" s="1"/>
  <c r="D50" i="11" s="1"/>
  <c r="E49" i="11"/>
  <c r="C49" i="11"/>
  <c r="B49" i="11"/>
  <c r="L47" i="11"/>
  <c r="J47" i="11"/>
  <c r="I47" i="11"/>
  <c r="H47" i="11"/>
  <c r="G47" i="11"/>
  <c r="F47" i="11"/>
  <c r="F48" i="11" s="1"/>
  <c r="D48" i="11" s="1"/>
  <c r="E47" i="11"/>
  <c r="C47" i="11"/>
  <c r="B47" i="11"/>
  <c r="L45" i="11"/>
  <c r="J45" i="11"/>
  <c r="I45" i="11"/>
  <c r="H45" i="11"/>
  <c r="G45" i="11"/>
  <c r="F45" i="11"/>
  <c r="F46" i="11" s="1"/>
  <c r="D46" i="11" s="1"/>
  <c r="E45" i="11"/>
  <c r="C45" i="11"/>
  <c r="B45" i="11"/>
  <c r="J39" i="11"/>
  <c r="I39" i="11"/>
  <c r="H39" i="11"/>
  <c r="G39" i="11"/>
  <c r="F39" i="11"/>
  <c r="F40" i="11" s="1"/>
  <c r="D40" i="11" s="1"/>
  <c r="E39" i="11"/>
  <c r="C39" i="11"/>
  <c r="B39" i="11"/>
  <c r="J37" i="11"/>
  <c r="I37" i="11"/>
  <c r="H37" i="11"/>
  <c r="G37" i="11"/>
  <c r="F37" i="11"/>
  <c r="D37" i="11" s="1"/>
  <c r="E37" i="11"/>
  <c r="C37" i="11"/>
  <c r="B37" i="11"/>
  <c r="J35" i="11"/>
  <c r="I35" i="11"/>
  <c r="H35" i="11"/>
  <c r="G35" i="11"/>
  <c r="F35" i="11"/>
  <c r="F36" i="11" s="1"/>
  <c r="D36" i="11" s="1"/>
  <c r="E35" i="11"/>
  <c r="C35" i="11"/>
  <c r="B35" i="11"/>
  <c r="F34" i="11"/>
  <c r="D34" i="11" s="1"/>
  <c r="J33" i="11"/>
  <c r="I33" i="11"/>
  <c r="H33" i="11"/>
  <c r="G33" i="11"/>
  <c r="F33" i="11"/>
  <c r="D33" i="11" s="1"/>
  <c r="E33" i="11"/>
  <c r="C33" i="11"/>
  <c r="B33" i="11"/>
  <c r="J31" i="11"/>
  <c r="I31" i="11"/>
  <c r="H31" i="11"/>
  <c r="G31" i="11"/>
  <c r="F31" i="11"/>
  <c r="F32" i="11" s="1"/>
  <c r="D32" i="11" s="1"/>
  <c r="E31" i="11"/>
  <c r="C31" i="11"/>
  <c r="B31" i="11"/>
  <c r="F30" i="11"/>
  <c r="D30" i="11" s="1"/>
  <c r="J29" i="11"/>
  <c r="I29" i="11"/>
  <c r="H29" i="11"/>
  <c r="G29" i="11"/>
  <c r="F29" i="11"/>
  <c r="D29" i="11" s="1"/>
  <c r="E29" i="11"/>
  <c r="C29" i="11"/>
  <c r="B29" i="11"/>
  <c r="J27" i="11"/>
  <c r="I27" i="11"/>
  <c r="H27" i="11"/>
  <c r="G27" i="11"/>
  <c r="F27" i="11"/>
  <c r="F28" i="11" s="1"/>
  <c r="D28" i="11" s="1"/>
  <c r="E27" i="11"/>
  <c r="C27" i="11"/>
  <c r="B27" i="11"/>
  <c r="J25" i="11"/>
  <c r="I25" i="11"/>
  <c r="H25" i="11"/>
  <c r="G25" i="11"/>
  <c r="F25" i="11"/>
  <c r="D25" i="11" s="1"/>
  <c r="E25" i="11"/>
  <c r="C25" i="11"/>
  <c r="B25" i="11"/>
  <c r="J23" i="11"/>
  <c r="I23" i="11"/>
  <c r="H23" i="11"/>
  <c r="G23" i="11"/>
  <c r="F23" i="11"/>
  <c r="F24" i="11" s="1"/>
  <c r="D24" i="11" s="1"/>
  <c r="E23" i="11"/>
  <c r="C23" i="11"/>
  <c r="B23" i="11"/>
  <c r="K41" i="11"/>
  <c r="I21" i="11"/>
  <c r="H21" i="11"/>
  <c r="G21" i="11"/>
  <c r="F21" i="11"/>
  <c r="D21" i="11" s="1"/>
  <c r="E21" i="11"/>
  <c r="C21" i="11"/>
  <c r="B21" i="11"/>
  <c r="B18" i="11"/>
  <c r="A17" i="11"/>
  <c r="K16" i="11"/>
  <c r="B16" i="11"/>
  <c r="B15" i="11"/>
  <c r="B14" i="11"/>
  <c r="B13" i="11"/>
  <c r="B12" i="11"/>
  <c r="J11" i="11"/>
  <c r="B11" i="11"/>
  <c r="J10" i="11"/>
  <c r="B10" i="11"/>
  <c r="J9" i="11"/>
  <c r="B9" i="11"/>
  <c r="J8" i="11"/>
  <c r="J7" i="11"/>
  <c r="J6" i="11"/>
  <c r="I6" i="11"/>
  <c r="J4" i="11"/>
  <c r="B142" i="10"/>
  <c r="B144" i="10" s="1"/>
  <c r="B146" i="10" s="1"/>
  <c r="B148" i="10" s="1"/>
  <c r="B150" i="10" s="1"/>
  <c r="B152" i="10" s="1"/>
  <c r="B154" i="10" s="1"/>
  <c r="B156" i="10" s="1"/>
  <c r="B158" i="10" s="1"/>
  <c r="B160" i="10" s="1"/>
  <c r="L135" i="10"/>
  <c r="J135" i="10"/>
  <c r="I135" i="10"/>
  <c r="H135" i="10"/>
  <c r="G135" i="10"/>
  <c r="F135" i="10"/>
  <c r="F136" i="10" s="1"/>
  <c r="D136" i="10" s="1"/>
  <c r="E135" i="10"/>
  <c r="C135" i="10"/>
  <c r="B135" i="10"/>
  <c r="L133" i="10"/>
  <c r="J133" i="10"/>
  <c r="I133" i="10"/>
  <c r="H133" i="10"/>
  <c r="G133" i="10"/>
  <c r="F133" i="10"/>
  <c r="F134" i="10" s="1"/>
  <c r="D134" i="10" s="1"/>
  <c r="E133" i="10"/>
  <c r="C133" i="10"/>
  <c r="B133" i="10"/>
  <c r="L131" i="10"/>
  <c r="J131" i="10"/>
  <c r="I131" i="10"/>
  <c r="H131" i="10"/>
  <c r="G131" i="10"/>
  <c r="F131" i="10"/>
  <c r="F132" i="10" s="1"/>
  <c r="D132" i="10" s="1"/>
  <c r="E131" i="10"/>
  <c r="C131" i="10"/>
  <c r="B131" i="10"/>
  <c r="L129" i="10"/>
  <c r="J129" i="10"/>
  <c r="I129" i="10"/>
  <c r="H129" i="10"/>
  <c r="G129" i="10"/>
  <c r="F129" i="10"/>
  <c r="D129" i="10" s="1"/>
  <c r="E129" i="10"/>
  <c r="C129" i="10"/>
  <c r="B129" i="10"/>
  <c r="L127" i="10"/>
  <c r="K127" i="10" s="1"/>
  <c r="J127" i="10"/>
  <c r="I127" i="10"/>
  <c r="H127" i="10"/>
  <c r="G127" i="10"/>
  <c r="F127" i="10"/>
  <c r="F128" i="10" s="1"/>
  <c r="D128" i="10" s="1"/>
  <c r="E127" i="10"/>
  <c r="C127" i="10"/>
  <c r="B127" i="10"/>
  <c r="L125" i="10"/>
  <c r="J125" i="10"/>
  <c r="I125" i="10"/>
  <c r="H125" i="10"/>
  <c r="G125" i="10"/>
  <c r="F125" i="10"/>
  <c r="F126" i="10" s="1"/>
  <c r="D126" i="10" s="1"/>
  <c r="E125" i="10"/>
  <c r="C125" i="10"/>
  <c r="B125" i="10"/>
  <c r="L123" i="10"/>
  <c r="J123" i="10"/>
  <c r="I123" i="10"/>
  <c r="H123" i="10"/>
  <c r="G123" i="10"/>
  <c r="K123" i="10" s="1"/>
  <c r="F123" i="10"/>
  <c r="D123" i="10" s="1"/>
  <c r="E123" i="10"/>
  <c r="C123" i="10"/>
  <c r="B123" i="10"/>
  <c r="L121" i="10"/>
  <c r="K121" i="10" s="1"/>
  <c r="J121" i="10"/>
  <c r="I121" i="10"/>
  <c r="H121" i="10"/>
  <c r="G121" i="10"/>
  <c r="F121" i="10"/>
  <c r="F122" i="10" s="1"/>
  <c r="D122" i="10" s="1"/>
  <c r="E121" i="10"/>
  <c r="C121" i="10"/>
  <c r="B121" i="10"/>
  <c r="L119" i="10"/>
  <c r="J119" i="10"/>
  <c r="I119" i="10"/>
  <c r="H119" i="10"/>
  <c r="G119" i="10"/>
  <c r="K119" i="10" s="1"/>
  <c r="F119" i="10"/>
  <c r="F120" i="10" s="1"/>
  <c r="D120" i="10" s="1"/>
  <c r="E119" i="10"/>
  <c r="C119" i="10"/>
  <c r="B119" i="10"/>
  <c r="L117" i="10"/>
  <c r="K117" i="10" s="1"/>
  <c r="J117" i="10"/>
  <c r="I117" i="10"/>
  <c r="H117" i="10"/>
  <c r="G117" i="10"/>
  <c r="F117" i="10"/>
  <c r="F118" i="10" s="1"/>
  <c r="D118" i="10" s="1"/>
  <c r="E117" i="10"/>
  <c r="D117" i="10"/>
  <c r="C117" i="10"/>
  <c r="B117" i="10"/>
  <c r="L111" i="10"/>
  <c r="J111" i="10"/>
  <c r="I111" i="10"/>
  <c r="H111" i="10"/>
  <c r="G111" i="10"/>
  <c r="F111" i="10"/>
  <c r="D111" i="10" s="1"/>
  <c r="E111" i="10"/>
  <c r="C111" i="10"/>
  <c r="B111" i="10"/>
  <c r="L109" i="10"/>
  <c r="J109" i="10"/>
  <c r="I109" i="10"/>
  <c r="H109" i="10"/>
  <c r="G109" i="10"/>
  <c r="F109" i="10"/>
  <c r="F110" i="10" s="1"/>
  <c r="D110" i="10" s="1"/>
  <c r="E109" i="10"/>
  <c r="C109" i="10"/>
  <c r="B109" i="10"/>
  <c r="L107" i="10"/>
  <c r="J107" i="10"/>
  <c r="I107" i="10"/>
  <c r="H107" i="10"/>
  <c r="G107" i="10"/>
  <c r="K107" i="10" s="1"/>
  <c r="F107" i="10"/>
  <c r="F108" i="10" s="1"/>
  <c r="D108" i="10" s="1"/>
  <c r="E107" i="10"/>
  <c r="C107" i="10"/>
  <c r="B107" i="10"/>
  <c r="L105" i="10"/>
  <c r="J105" i="10"/>
  <c r="I105" i="10"/>
  <c r="H105" i="10"/>
  <c r="G105" i="10"/>
  <c r="F105" i="10"/>
  <c r="F106" i="10" s="1"/>
  <c r="D106" i="10" s="1"/>
  <c r="E105" i="10"/>
  <c r="C105" i="10"/>
  <c r="B105" i="10"/>
  <c r="L103" i="10"/>
  <c r="J103" i="10"/>
  <c r="I103" i="10"/>
  <c r="H103" i="10"/>
  <c r="G103" i="10"/>
  <c r="F103" i="10"/>
  <c r="F104" i="10" s="1"/>
  <c r="D104" i="10" s="1"/>
  <c r="E103" i="10"/>
  <c r="C103" i="10"/>
  <c r="B103" i="10"/>
  <c r="L101" i="10"/>
  <c r="K101" i="10" s="1"/>
  <c r="J101" i="10"/>
  <c r="I101" i="10"/>
  <c r="H101" i="10"/>
  <c r="G101" i="10"/>
  <c r="F101" i="10"/>
  <c r="D101" i="10" s="1"/>
  <c r="E101" i="10"/>
  <c r="C101" i="10"/>
  <c r="B101" i="10"/>
  <c r="L99" i="10"/>
  <c r="K99" i="10" s="1"/>
  <c r="J99" i="10"/>
  <c r="I99" i="10"/>
  <c r="H99" i="10"/>
  <c r="G99" i="10"/>
  <c r="F99" i="10"/>
  <c r="F100" i="10" s="1"/>
  <c r="D100" i="10" s="1"/>
  <c r="E99" i="10"/>
  <c r="C99" i="10"/>
  <c r="B99" i="10"/>
  <c r="L97" i="10"/>
  <c r="J97" i="10"/>
  <c r="I97" i="10"/>
  <c r="H97" i="10"/>
  <c r="G97" i="10"/>
  <c r="F97" i="10"/>
  <c r="F98" i="10" s="1"/>
  <c r="D98" i="10" s="1"/>
  <c r="E97" i="10"/>
  <c r="D97" i="10"/>
  <c r="C97" i="10"/>
  <c r="B97" i="10"/>
  <c r="L95" i="10"/>
  <c r="J95" i="10"/>
  <c r="I95" i="10"/>
  <c r="H95" i="10"/>
  <c r="G95" i="10"/>
  <c r="F95" i="10"/>
  <c r="D95" i="10" s="1"/>
  <c r="E95" i="10"/>
  <c r="C95" i="10"/>
  <c r="B95" i="10"/>
  <c r="L93" i="10"/>
  <c r="J93" i="10"/>
  <c r="I93" i="10"/>
  <c r="H93" i="10"/>
  <c r="G93" i="10"/>
  <c r="F93" i="10"/>
  <c r="F94" i="10" s="1"/>
  <c r="D94" i="10" s="1"/>
  <c r="E93" i="10"/>
  <c r="C93" i="10"/>
  <c r="B93" i="10"/>
  <c r="L87" i="10"/>
  <c r="K87" i="10" s="1"/>
  <c r="J87" i="10"/>
  <c r="I87" i="10"/>
  <c r="H87" i="10"/>
  <c r="G87" i="10"/>
  <c r="F87" i="10"/>
  <c r="F88" i="10" s="1"/>
  <c r="D88" i="10" s="1"/>
  <c r="E87" i="10"/>
  <c r="C87" i="10"/>
  <c r="B87" i="10"/>
  <c r="L85" i="10"/>
  <c r="J85" i="10"/>
  <c r="I85" i="10"/>
  <c r="H85" i="10"/>
  <c r="G85" i="10"/>
  <c r="F85" i="10"/>
  <c r="F86" i="10" s="1"/>
  <c r="D86" i="10" s="1"/>
  <c r="E85" i="10"/>
  <c r="C85" i="10"/>
  <c r="B85" i="10"/>
  <c r="L83" i="10"/>
  <c r="J83" i="10"/>
  <c r="I83" i="10"/>
  <c r="H83" i="10"/>
  <c r="G83" i="10"/>
  <c r="F83" i="10"/>
  <c r="D83" i="10" s="1"/>
  <c r="E83" i="10"/>
  <c r="C83" i="10"/>
  <c r="B83" i="10"/>
  <c r="L81" i="10"/>
  <c r="K81" i="10"/>
  <c r="J81" i="10"/>
  <c r="I81" i="10"/>
  <c r="H81" i="10"/>
  <c r="G81" i="10"/>
  <c r="F81" i="10"/>
  <c r="F82" i="10" s="1"/>
  <c r="D82" i="10" s="1"/>
  <c r="E81" i="10"/>
  <c r="C81" i="10"/>
  <c r="B81" i="10"/>
  <c r="L79" i="10"/>
  <c r="J79" i="10"/>
  <c r="I79" i="10"/>
  <c r="H79" i="10"/>
  <c r="G79" i="10"/>
  <c r="K79" i="10" s="1"/>
  <c r="F79" i="10"/>
  <c r="F80" i="10" s="1"/>
  <c r="D80" i="10" s="1"/>
  <c r="E79" i="10"/>
  <c r="C79" i="10"/>
  <c r="B79" i="10"/>
  <c r="L77" i="10"/>
  <c r="J77" i="10"/>
  <c r="I77" i="10"/>
  <c r="H77" i="10"/>
  <c r="G77" i="10"/>
  <c r="F77" i="10"/>
  <c r="F78" i="10" s="1"/>
  <c r="D78" i="10" s="1"/>
  <c r="E77" i="10"/>
  <c r="C77" i="10"/>
  <c r="B77" i="10"/>
  <c r="L75" i="10"/>
  <c r="K75" i="10" s="1"/>
  <c r="J75" i="10"/>
  <c r="I75" i="10"/>
  <c r="H75" i="10"/>
  <c r="G75" i="10"/>
  <c r="F75" i="10"/>
  <c r="F76" i="10" s="1"/>
  <c r="D76" i="10" s="1"/>
  <c r="E75" i="10"/>
  <c r="C75" i="10"/>
  <c r="B75" i="10"/>
  <c r="L73" i="10"/>
  <c r="J73" i="10"/>
  <c r="I73" i="10"/>
  <c r="H73" i="10"/>
  <c r="G73" i="10"/>
  <c r="F73" i="10"/>
  <c r="D73" i="10" s="1"/>
  <c r="E73" i="10"/>
  <c r="C73" i="10"/>
  <c r="B73" i="10"/>
  <c r="L71" i="10"/>
  <c r="K71" i="10"/>
  <c r="J71" i="10"/>
  <c r="I71" i="10"/>
  <c r="H71" i="10"/>
  <c r="G71" i="10"/>
  <c r="F71" i="10"/>
  <c r="F72" i="10" s="1"/>
  <c r="D72" i="10" s="1"/>
  <c r="E71" i="10"/>
  <c r="C71" i="10"/>
  <c r="B71" i="10"/>
  <c r="L69" i="10"/>
  <c r="J69" i="10"/>
  <c r="I69" i="10"/>
  <c r="H69" i="10"/>
  <c r="G69" i="10"/>
  <c r="F69" i="10"/>
  <c r="F70" i="10" s="1"/>
  <c r="D70" i="10" s="1"/>
  <c r="E69" i="10"/>
  <c r="D69" i="10"/>
  <c r="C69" i="10"/>
  <c r="B69" i="10"/>
  <c r="L63" i="10"/>
  <c r="J63" i="10"/>
  <c r="I63" i="10"/>
  <c r="H63" i="10"/>
  <c r="G63" i="10"/>
  <c r="F63" i="10"/>
  <c r="F64" i="10" s="1"/>
  <c r="D64" i="10" s="1"/>
  <c r="E63" i="10"/>
  <c r="C63" i="10"/>
  <c r="B63" i="10"/>
  <c r="L61" i="10"/>
  <c r="J61" i="10"/>
  <c r="I61" i="10"/>
  <c r="H61" i="10"/>
  <c r="G61" i="10"/>
  <c r="F61" i="10"/>
  <c r="D61" i="10" s="1"/>
  <c r="E61" i="10"/>
  <c r="C61" i="10"/>
  <c r="B61" i="10"/>
  <c r="L59" i="10"/>
  <c r="K59" i="10" s="1"/>
  <c r="J59" i="10"/>
  <c r="I59" i="10"/>
  <c r="H59" i="10"/>
  <c r="G59" i="10"/>
  <c r="F59" i="10"/>
  <c r="F60" i="10" s="1"/>
  <c r="D60" i="10" s="1"/>
  <c r="E59" i="10"/>
  <c r="C59" i="10"/>
  <c r="B59" i="10"/>
  <c r="L57" i="10"/>
  <c r="J57" i="10"/>
  <c r="I57" i="10"/>
  <c r="H57" i="10"/>
  <c r="G57" i="10"/>
  <c r="F57" i="10"/>
  <c r="F58" i="10" s="1"/>
  <c r="D58" i="10" s="1"/>
  <c r="E57" i="10"/>
  <c r="C57" i="10"/>
  <c r="B57" i="10"/>
  <c r="L55" i="10"/>
  <c r="J55" i="10"/>
  <c r="I55" i="10"/>
  <c r="H55" i="10"/>
  <c r="G55" i="10"/>
  <c r="F55" i="10"/>
  <c r="D55" i="10" s="1"/>
  <c r="E55" i="10"/>
  <c r="C55" i="10"/>
  <c r="B55" i="10"/>
  <c r="L53" i="10"/>
  <c r="K53" i="10"/>
  <c r="J53" i="10"/>
  <c r="I53" i="10"/>
  <c r="H53" i="10"/>
  <c r="G53" i="10"/>
  <c r="F53" i="10"/>
  <c r="F54" i="10" s="1"/>
  <c r="D54" i="10" s="1"/>
  <c r="E53" i="10"/>
  <c r="C53" i="10"/>
  <c r="B53" i="10"/>
  <c r="L51" i="10"/>
  <c r="J51" i="10"/>
  <c r="I51" i="10"/>
  <c r="H51" i="10"/>
  <c r="G51" i="10"/>
  <c r="F51" i="10"/>
  <c r="F52" i="10" s="1"/>
  <c r="D52" i="10" s="1"/>
  <c r="E51" i="10"/>
  <c r="C51" i="10"/>
  <c r="B51" i="10"/>
  <c r="L49" i="10"/>
  <c r="K49" i="10" s="1"/>
  <c r="J49" i="10"/>
  <c r="I49" i="10"/>
  <c r="H49" i="10"/>
  <c r="G49" i="10"/>
  <c r="F49" i="10"/>
  <c r="F50" i="10" s="1"/>
  <c r="D50" i="10" s="1"/>
  <c r="E49" i="10"/>
  <c r="C49" i="10"/>
  <c r="B49" i="10"/>
  <c r="L47" i="10"/>
  <c r="J47" i="10"/>
  <c r="I47" i="10"/>
  <c r="H47" i="10"/>
  <c r="G47" i="10"/>
  <c r="F47" i="10"/>
  <c r="F48" i="10" s="1"/>
  <c r="D48" i="10" s="1"/>
  <c r="E47" i="10"/>
  <c r="C47" i="10"/>
  <c r="B47" i="10"/>
  <c r="L45" i="10"/>
  <c r="J45" i="10"/>
  <c r="I45" i="10"/>
  <c r="H45" i="10"/>
  <c r="G45" i="10"/>
  <c r="F45" i="10"/>
  <c r="D45" i="10" s="1"/>
  <c r="E45" i="10"/>
  <c r="C45" i="10"/>
  <c r="B45" i="10"/>
  <c r="G41" i="10"/>
  <c r="J39" i="10"/>
  <c r="I39" i="10"/>
  <c r="H39" i="10"/>
  <c r="G39" i="10"/>
  <c r="F39" i="10"/>
  <c r="E39" i="10"/>
  <c r="C39" i="10"/>
  <c r="B39" i="10"/>
  <c r="J37" i="10"/>
  <c r="I37" i="10"/>
  <c r="H37" i="10"/>
  <c r="G37" i="10"/>
  <c r="F37" i="10"/>
  <c r="F38" i="10" s="1"/>
  <c r="D38" i="10" s="1"/>
  <c r="E37" i="10"/>
  <c r="C37" i="10"/>
  <c r="B37" i="10"/>
  <c r="J35" i="10"/>
  <c r="I35" i="10"/>
  <c r="H35" i="10"/>
  <c r="G35" i="10"/>
  <c r="F35" i="10"/>
  <c r="E35" i="10"/>
  <c r="C35" i="10"/>
  <c r="B35" i="10"/>
  <c r="J33" i="10"/>
  <c r="I33" i="10"/>
  <c r="H33" i="10"/>
  <c r="G33" i="10"/>
  <c r="F33" i="10"/>
  <c r="F34" i="10" s="1"/>
  <c r="D34" i="10" s="1"/>
  <c r="E33" i="10"/>
  <c r="C33" i="10"/>
  <c r="B33" i="10"/>
  <c r="J31" i="10"/>
  <c r="I31" i="10"/>
  <c r="H31" i="10"/>
  <c r="G31" i="10"/>
  <c r="F31" i="10"/>
  <c r="E31" i="10"/>
  <c r="C31" i="10"/>
  <c r="B31" i="10"/>
  <c r="J29" i="10"/>
  <c r="I29" i="10"/>
  <c r="H29" i="10"/>
  <c r="G29" i="10"/>
  <c r="F29" i="10"/>
  <c r="F30" i="10" s="1"/>
  <c r="D30" i="10" s="1"/>
  <c r="E29" i="10"/>
  <c r="C29" i="10"/>
  <c r="B29" i="10"/>
  <c r="J27" i="10"/>
  <c r="I27" i="10"/>
  <c r="H27" i="10"/>
  <c r="G27" i="10"/>
  <c r="F27" i="10"/>
  <c r="E27" i="10"/>
  <c r="C27" i="10"/>
  <c r="B27" i="10"/>
  <c r="J25" i="10"/>
  <c r="I25" i="10"/>
  <c r="H25" i="10"/>
  <c r="G25" i="10"/>
  <c r="F25" i="10"/>
  <c r="F26" i="10" s="1"/>
  <c r="D26" i="10" s="1"/>
  <c r="E25" i="10"/>
  <c r="C25" i="10"/>
  <c r="B25" i="10"/>
  <c r="J23" i="10"/>
  <c r="I23" i="10"/>
  <c r="H23" i="10"/>
  <c r="G23" i="10"/>
  <c r="F23" i="10"/>
  <c r="E23" i="10"/>
  <c r="C23" i="10"/>
  <c r="B23" i="10"/>
  <c r="K41" i="10"/>
  <c r="I21" i="10"/>
  <c r="I41" i="10" s="1"/>
  <c r="H21" i="10"/>
  <c r="G21" i="10"/>
  <c r="F21" i="10"/>
  <c r="F22" i="10" s="1"/>
  <c r="D22" i="10" s="1"/>
  <c r="E21" i="10"/>
  <c r="C21" i="10"/>
  <c r="C160" i="10" s="1" a="1"/>
  <c r="C160" i="10" s="1"/>
  <c r="B21" i="10"/>
  <c r="B18" i="10"/>
  <c r="A17" i="10"/>
  <c r="K16" i="10"/>
  <c r="B16" i="10"/>
  <c r="B15" i="10"/>
  <c r="B14" i="10"/>
  <c r="B13" i="10"/>
  <c r="B12" i="10"/>
  <c r="J11" i="10"/>
  <c r="B11" i="10"/>
  <c r="J10" i="10"/>
  <c r="B10" i="10"/>
  <c r="J9" i="10"/>
  <c r="B9" i="10"/>
  <c r="J8" i="10"/>
  <c r="J7" i="10"/>
  <c r="J6" i="10"/>
  <c r="I6" i="10"/>
  <c r="J4" i="10"/>
  <c r="K55" i="10" l="1"/>
  <c r="D59" i="10"/>
  <c r="D87" i="10"/>
  <c r="K105" i="10"/>
  <c r="K133" i="10"/>
  <c r="K53" i="11"/>
  <c r="J65" i="10"/>
  <c r="D105" i="10"/>
  <c r="F38" i="11"/>
  <c r="D38" i="11" s="1"/>
  <c r="K63" i="11"/>
  <c r="K81" i="11"/>
  <c r="K125" i="11"/>
  <c r="K135" i="11"/>
  <c r="D51" i="10"/>
  <c r="K135" i="10"/>
  <c r="D63" i="11"/>
  <c r="D75" i="11"/>
  <c r="I113" i="11"/>
  <c r="D103" i="11"/>
  <c r="K121" i="11"/>
  <c r="L113" i="10"/>
  <c r="K111" i="10"/>
  <c r="D125" i="10"/>
  <c r="D135" i="10"/>
  <c r="G41" i="11"/>
  <c r="K61" i="11"/>
  <c r="K73" i="11"/>
  <c r="K77" i="11"/>
  <c r="K95" i="11"/>
  <c r="K123" i="11"/>
  <c r="I41" i="11"/>
  <c r="D127" i="10"/>
  <c r="K103" i="10"/>
  <c r="K109" i="10"/>
  <c r="D49" i="11"/>
  <c r="K83" i="11"/>
  <c r="G113" i="11"/>
  <c r="D125" i="11"/>
  <c r="I89" i="10"/>
  <c r="K63" i="10"/>
  <c r="G89" i="10"/>
  <c r="K85" i="10"/>
  <c r="G113" i="10"/>
  <c r="I65" i="11"/>
  <c r="L89" i="11"/>
  <c r="J137" i="11"/>
  <c r="I137" i="11"/>
  <c r="J89" i="10"/>
  <c r="K77" i="10"/>
  <c r="D85" i="10"/>
  <c r="K95" i="10"/>
  <c r="D119" i="10"/>
  <c r="J65" i="11"/>
  <c r="D51" i="11"/>
  <c r="D85" i="11"/>
  <c r="K101" i="11"/>
  <c r="K105" i="11"/>
  <c r="K117" i="11"/>
  <c r="K131" i="11"/>
  <c r="K47" i="10"/>
  <c r="K51" i="10"/>
  <c r="L89" i="10"/>
  <c r="K73" i="10"/>
  <c r="D77" i="10"/>
  <c r="K83" i="10"/>
  <c r="D99" i="10"/>
  <c r="D107" i="10"/>
  <c r="G137" i="10"/>
  <c r="K131" i="10"/>
  <c r="K59" i="11"/>
  <c r="K71" i="11"/>
  <c r="D79" i="11"/>
  <c r="D97" i="11"/>
  <c r="L113" i="11"/>
  <c r="D105" i="11"/>
  <c r="D117" i="11"/>
  <c r="I65" i="10"/>
  <c r="K57" i="10"/>
  <c r="K61" i="10"/>
  <c r="J113" i="10"/>
  <c r="I113" i="10"/>
  <c r="K87" i="11"/>
  <c r="J113" i="11"/>
  <c r="K133" i="11"/>
  <c r="D57" i="10"/>
  <c r="D79" i="10"/>
  <c r="I137" i="10"/>
  <c r="C160" i="11" a="1"/>
  <c r="C160" i="11" s="1"/>
  <c r="J160" i="11" s="1"/>
  <c r="F22" i="11"/>
  <c r="D22" i="11" s="1"/>
  <c r="K47" i="11"/>
  <c r="D87" i="11"/>
  <c r="K93" i="11"/>
  <c r="K99" i="11"/>
  <c r="D107" i="11"/>
  <c r="D119" i="11"/>
  <c r="D133" i="11"/>
  <c r="G65" i="10"/>
  <c r="D49" i="10"/>
  <c r="D71" i="10"/>
  <c r="J137" i="10"/>
  <c r="K125" i="10"/>
  <c r="K129" i="10"/>
  <c r="D133" i="10"/>
  <c r="F26" i="11"/>
  <c r="D26" i="11" s="1"/>
  <c r="D47" i="11"/>
  <c r="F56" i="11"/>
  <c r="D56" i="11" s="1"/>
  <c r="I89" i="11"/>
  <c r="K75" i="11"/>
  <c r="G137" i="11"/>
  <c r="G65" i="11"/>
  <c r="J89" i="11"/>
  <c r="G89" i="11"/>
  <c r="D135" i="11"/>
  <c r="K103" i="11"/>
  <c r="F124" i="11"/>
  <c r="D124" i="11" s="1"/>
  <c r="D53" i="11"/>
  <c r="D81" i="11"/>
  <c r="D93" i="11"/>
  <c r="D109" i="11"/>
  <c r="D121" i="11"/>
  <c r="K45" i="11"/>
  <c r="C142" i="11" a="1"/>
  <c r="C142" i="11" s="1"/>
  <c r="C144" i="11" a="1"/>
  <c r="C144" i="11" s="1"/>
  <c r="C146" i="11" a="1"/>
  <c r="C146" i="11" s="1"/>
  <c r="C148" i="11" a="1"/>
  <c r="C148" i="11" s="1"/>
  <c r="C150" i="11" a="1"/>
  <c r="C150" i="11" s="1"/>
  <c r="C152" i="11" a="1"/>
  <c r="C152" i="11" s="1"/>
  <c r="C154" i="11" a="1"/>
  <c r="C154" i="11" s="1"/>
  <c r="C156" i="11" a="1"/>
  <c r="C156" i="11" s="1"/>
  <c r="C158" i="11" a="1"/>
  <c r="C158" i="11" s="1"/>
  <c r="F84" i="11"/>
  <c r="D84" i="11" s="1"/>
  <c r="D23" i="11"/>
  <c r="D27" i="11"/>
  <c r="D31" i="11"/>
  <c r="D35" i="11"/>
  <c r="D39" i="11"/>
  <c r="D45" i="11"/>
  <c r="D61" i="11"/>
  <c r="D73" i="11"/>
  <c r="D101" i="11"/>
  <c r="D129" i="11"/>
  <c r="F96" i="11"/>
  <c r="D96" i="11" s="1"/>
  <c r="L137" i="11"/>
  <c r="D111" i="11"/>
  <c r="L65" i="11"/>
  <c r="F32" i="10"/>
  <c r="D32" i="10" s="1"/>
  <c r="D31" i="10"/>
  <c r="F36" i="10"/>
  <c r="D36" i="10" s="1"/>
  <c r="D35" i="10"/>
  <c r="F24" i="10"/>
  <c r="D24" i="10" s="1"/>
  <c r="D23" i="10"/>
  <c r="F40" i="10"/>
  <c r="D40" i="10" s="1"/>
  <c r="D39" i="10"/>
  <c r="E160" i="10"/>
  <c r="D161" i="10" a="1"/>
  <c r="D161" i="10" s="1"/>
  <c r="D160" i="10"/>
  <c r="K160" i="10"/>
  <c r="J160" i="10"/>
  <c r="I160" i="10"/>
  <c r="F160" i="10"/>
  <c r="H160" i="10" s="1"/>
  <c r="G160" i="10"/>
  <c r="F161" i="10" a="1"/>
  <c r="F161" i="10" s="1"/>
  <c r="H161" i="10" s="1"/>
  <c r="F28" i="10"/>
  <c r="D28" i="10" s="1"/>
  <c r="D27" i="10"/>
  <c r="F62" i="10"/>
  <c r="D62" i="10" s="1"/>
  <c r="F74" i="10"/>
  <c r="D74" i="10" s="1"/>
  <c r="F102" i="10"/>
  <c r="D102" i="10" s="1"/>
  <c r="F130" i="10"/>
  <c r="D130" i="10" s="1"/>
  <c r="F56" i="10"/>
  <c r="D56" i="10" s="1"/>
  <c r="L65" i="10"/>
  <c r="F84" i="10"/>
  <c r="D84" i="10" s="1"/>
  <c r="K93" i="10"/>
  <c r="F96" i="10"/>
  <c r="D96" i="10" s="1"/>
  <c r="F112" i="10"/>
  <c r="D112" i="10" s="1"/>
  <c r="F124" i="10"/>
  <c r="D124" i="10" s="1"/>
  <c r="D21" i="10"/>
  <c r="D25" i="10"/>
  <c r="D29" i="10"/>
  <c r="D33" i="10"/>
  <c r="D37" i="10"/>
  <c r="D53" i="10"/>
  <c r="D81" i="10"/>
  <c r="D93" i="10"/>
  <c r="D109" i="10"/>
  <c r="D121" i="10"/>
  <c r="D47" i="10"/>
  <c r="D63" i="10"/>
  <c r="K69" i="10"/>
  <c r="D75" i="10"/>
  <c r="K97" i="10"/>
  <c r="D103" i="10"/>
  <c r="D131" i="10"/>
  <c r="L137" i="10"/>
  <c r="C142" i="10" a="1"/>
  <c r="C142" i="10" s="1"/>
  <c r="K142" i="10" s="1"/>
  <c r="C144" i="10" a="1"/>
  <c r="C144" i="10" s="1"/>
  <c r="C146" i="10" a="1"/>
  <c r="C146" i="10" s="1"/>
  <c r="C148" i="10" a="1"/>
  <c r="C148" i="10" s="1"/>
  <c r="C150" i="10" a="1"/>
  <c r="C150" i="10" s="1"/>
  <c r="C152" i="10" a="1"/>
  <c r="C152" i="10" s="1"/>
  <c r="C154" i="10" a="1"/>
  <c r="C154" i="10" s="1"/>
  <c r="C156" i="10" a="1"/>
  <c r="C156" i="10" s="1"/>
  <c r="C158" i="10" a="1"/>
  <c r="C158" i="10" s="1"/>
  <c r="F46" i="10"/>
  <c r="D46" i="10" s="1"/>
  <c r="K45" i="10"/>
  <c r="O41" i="1"/>
  <c r="I160" i="11" l="1"/>
  <c r="K160" i="11"/>
  <c r="D160" i="11"/>
  <c r="D161" i="11" a="1"/>
  <c r="D161" i="11" s="1"/>
  <c r="F160" i="11"/>
  <c r="H160" i="11" s="1"/>
  <c r="E160" i="11"/>
  <c r="F161" i="11" a="1"/>
  <c r="F161" i="11" s="1"/>
  <c r="H161" i="11" s="1"/>
  <c r="G160" i="11"/>
  <c r="E154" i="11"/>
  <c r="D155" i="11" a="1"/>
  <c r="D155" i="11" s="1"/>
  <c r="D154" i="11"/>
  <c r="K154" i="11"/>
  <c r="J154" i="11"/>
  <c r="I154" i="11"/>
  <c r="G154" i="11"/>
  <c r="F155" i="11" a="1"/>
  <c r="F155" i="11" s="1"/>
  <c r="H155" i="11" s="1"/>
  <c r="F154" i="11"/>
  <c r="H154" i="11" s="1"/>
  <c r="E158" i="11"/>
  <c r="D159" i="11" a="1"/>
  <c r="D159" i="11" s="1"/>
  <c r="D158" i="11"/>
  <c r="K158" i="11"/>
  <c r="J158" i="11"/>
  <c r="I158" i="11"/>
  <c r="G158" i="11"/>
  <c r="F159" i="11" a="1"/>
  <c r="F159" i="11" s="1"/>
  <c r="H159" i="11" s="1"/>
  <c r="F158" i="11"/>
  <c r="H158" i="11" s="1"/>
  <c r="E152" i="11"/>
  <c r="D153" i="11" a="1"/>
  <c r="D153" i="11" s="1"/>
  <c r="D152" i="11"/>
  <c r="K152" i="11"/>
  <c r="J152" i="11"/>
  <c r="I152" i="11"/>
  <c r="G152" i="11"/>
  <c r="F153" i="11" a="1"/>
  <c r="F153" i="11" s="1"/>
  <c r="H153" i="11" s="1"/>
  <c r="F152" i="11"/>
  <c r="H152" i="11" s="1"/>
  <c r="E150" i="11"/>
  <c r="D151" i="11" a="1"/>
  <c r="D151" i="11" s="1"/>
  <c r="D150" i="11"/>
  <c r="K150" i="11"/>
  <c r="J150" i="11"/>
  <c r="I150" i="11"/>
  <c r="G150" i="11"/>
  <c r="F151" i="11" a="1"/>
  <c r="F151" i="11" s="1"/>
  <c r="H151" i="11" s="1"/>
  <c r="F150" i="11"/>
  <c r="H150" i="11" s="1"/>
  <c r="E148" i="11"/>
  <c r="D149" i="11" a="1"/>
  <c r="D149" i="11" s="1"/>
  <c r="D148" i="11"/>
  <c r="K148" i="11"/>
  <c r="J148" i="11"/>
  <c r="I148" i="11"/>
  <c r="G148" i="11"/>
  <c r="F149" i="11" a="1"/>
  <c r="F149" i="11" s="1"/>
  <c r="H149" i="11" s="1"/>
  <c r="F148" i="11"/>
  <c r="H148" i="11" s="1"/>
  <c r="E156" i="11"/>
  <c r="D157" i="11" a="1"/>
  <c r="D157" i="11" s="1"/>
  <c r="D156" i="11"/>
  <c r="K156" i="11"/>
  <c r="J156" i="11"/>
  <c r="I156" i="11"/>
  <c r="G156" i="11"/>
  <c r="F157" i="11" a="1"/>
  <c r="F157" i="11" s="1"/>
  <c r="H157" i="11" s="1"/>
  <c r="F156" i="11"/>
  <c r="H156" i="11" s="1"/>
  <c r="E146" i="11"/>
  <c r="D147" i="11" a="1"/>
  <c r="D147" i="11" s="1"/>
  <c r="D146" i="11"/>
  <c r="K146" i="11"/>
  <c r="J146" i="11"/>
  <c r="I146" i="11"/>
  <c r="G146" i="11"/>
  <c r="F147" i="11" a="1"/>
  <c r="F147" i="11" s="1"/>
  <c r="H147" i="11" s="1"/>
  <c r="F146" i="11"/>
  <c r="H146" i="11" s="1"/>
  <c r="E144" i="11"/>
  <c r="D145" i="11" a="1"/>
  <c r="D145" i="11" s="1"/>
  <c r="D144" i="11"/>
  <c r="K144" i="11"/>
  <c r="J144" i="11"/>
  <c r="I144" i="11"/>
  <c r="G144" i="11"/>
  <c r="F145" i="11" a="1"/>
  <c r="F145" i="11" s="1"/>
  <c r="H145" i="11" s="1"/>
  <c r="F144" i="11"/>
  <c r="H144" i="11" s="1"/>
  <c r="E142" i="11"/>
  <c r="D143" i="11" a="1"/>
  <c r="D143" i="11" s="1"/>
  <c r="D142" i="11"/>
  <c r="K142" i="11"/>
  <c r="J142" i="11"/>
  <c r="I142" i="11"/>
  <c r="G142" i="11"/>
  <c r="F143" i="11" a="1"/>
  <c r="F143" i="11" s="1"/>
  <c r="H143" i="11" s="1"/>
  <c r="F142" i="11"/>
  <c r="H142" i="11" s="1"/>
  <c r="E158" i="10"/>
  <c r="D159" i="10" a="1"/>
  <c r="D159" i="10" s="1"/>
  <c r="D158" i="10"/>
  <c r="K158" i="10"/>
  <c r="J158" i="10"/>
  <c r="I158" i="10"/>
  <c r="F159" i="10" a="1"/>
  <c r="F159" i="10" s="1"/>
  <c r="H159" i="10" s="1"/>
  <c r="F158" i="10"/>
  <c r="H158" i="10" s="1"/>
  <c r="G158" i="10"/>
  <c r="E156" i="10"/>
  <c r="D157" i="10" a="1"/>
  <c r="D157" i="10" s="1"/>
  <c r="D156" i="10"/>
  <c r="K156" i="10"/>
  <c r="J156" i="10"/>
  <c r="I156" i="10"/>
  <c r="F156" i="10"/>
  <c r="H156" i="10" s="1"/>
  <c r="G156" i="10"/>
  <c r="F157" i="10" a="1"/>
  <c r="F157" i="10" s="1"/>
  <c r="H157" i="10" s="1"/>
  <c r="E154" i="10"/>
  <c r="D155" i="10" a="1"/>
  <c r="D155" i="10" s="1"/>
  <c r="D154" i="10"/>
  <c r="K154" i="10"/>
  <c r="J154" i="10"/>
  <c r="I154" i="10"/>
  <c r="F155" i="10" a="1"/>
  <c r="F155" i="10" s="1"/>
  <c r="H155" i="10" s="1"/>
  <c r="G154" i="10"/>
  <c r="F154" i="10"/>
  <c r="H154" i="10" s="1"/>
  <c r="E142" i="10"/>
  <c r="D143" i="10" a="1"/>
  <c r="D143" i="10" s="1"/>
  <c r="D142" i="10"/>
  <c r="J142" i="10"/>
  <c r="I142" i="10"/>
  <c r="F143" i="10" a="1"/>
  <c r="F143" i="10" s="1"/>
  <c r="H143" i="10" s="1"/>
  <c r="G142" i="10"/>
  <c r="F142" i="10"/>
  <c r="H142" i="10" s="1"/>
  <c r="E152" i="10"/>
  <c r="D153" i="10" a="1"/>
  <c r="D153" i="10" s="1"/>
  <c r="D152" i="10"/>
  <c r="K152" i="10"/>
  <c r="J152" i="10"/>
  <c r="I152" i="10"/>
  <c r="F153" i="10" a="1"/>
  <c r="F153" i="10" s="1"/>
  <c r="H153" i="10" s="1"/>
  <c r="F152" i="10"/>
  <c r="H152" i="10" s="1"/>
  <c r="G152" i="10"/>
  <c r="E150" i="10"/>
  <c r="D151" i="10" a="1"/>
  <c r="D151" i="10" s="1"/>
  <c r="D150" i="10"/>
  <c r="K150" i="10"/>
  <c r="J150" i="10"/>
  <c r="I150" i="10"/>
  <c r="F151" i="10" a="1"/>
  <c r="F151" i="10" s="1"/>
  <c r="H151" i="10" s="1"/>
  <c r="G150" i="10"/>
  <c r="F150" i="10"/>
  <c r="H150" i="10" s="1"/>
  <c r="E148" i="10"/>
  <c r="D149" i="10" a="1"/>
  <c r="D149" i="10" s="1"/>
  <c r="D148" i="10"/>
  <c r="K148" i="10"/>
  <c r="J148" i="10"/>
  <c r="I148" i="10"/>
  <c r="F148" i="10"/>
  <c r="H148" i="10" s="1"/>
  <c r="G148" i="10"/>
  <c r="F149" i="10" a="1"/>
  <c r="F149" i="10" s="1"/>
  <c r="H149" i="10" s="1"/>
  <c r="E146" i="10"/>
  <c r="D147" i="10" a="1"/>
  <c r="D147" i="10" s="1"/>
  <c r="D146" i="10"/>
  <c r="K146" i="10"/>
  <c r="J146" i="10"/>
  <c r="I146" i="10"/>
  <c r="F146" i="10"/>
  <c r="H146" i="10" s="1"/>
  <c r="G146" i="10"/>
  <c r="F147" i="10" a="1"/>
  <c r="F147" i="10" s="1"/>
  <c r="H147" i="10" s="1"/>
  <c r="E144" i="10"/>
  <c r="D145" i="10" a="1"/>
  <c r="D145" i="10" s="1"/>
  <c r="D144" i="10"/>
  <c r="K144" i="10"/>
  <c r="J144" i="10"/>
  <c r="I144" i="10"/>
  <c r="F144" i="10"/>
  <c r="H144" i="10" s="1"/>
  <c r="G144" i="10"/>
  <c r="F145" i="10" a="1"/>
  <c r="F145" i="10" s="1"/>
  <c r="H145" i="10" s="1"/>
  <c r="B18" i="9"/>
  <c r="B18" i="8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K162" i="11" l="1"/>
  <c r="K164" i="11" s="1"/>
  <c r="G162" i="11"/>
  <c r="J162" i="11"/>
  <c r="I162" i="11"/>
  <c r="J162" i="10"/>
  <c r="K162" i="10"/>
  <c r="K164" i="10" s="1"/>
  <c r="I162" i="10"/>
  <c r="G162" i="10"/>
  <c r="H6" i="9"/>
  <c r="J8" i="9"/>
  <c r="J9" i="9"/>
  <c r="J10" i="9"/>
  <c r="J11" i="9"/>
  <c r="J7" i="9"/>
  <c r="J6" i="9"/>
  <c r="J4" i="9"/>
  <c r="A17" i="9"/>
  <c r="B16" i="9"/>
  <c r="B15" i="9"/>
  <c r="B11" i="9"/>
  <c r="B12" i="9"/>
  <c r="B13" i="9"/>
  <c r="B14" i="9"/>
  <c r="B10" i="9"/>
  <c r="B9" i="9"/>
  <c r="M22" i="9" l="1"/>
  <c r="M23" i="9"/>
  <c r="M24" i="9"/>
  <c r="M25" i="9"/>
  <c r="M26" i="9"/>
  <c r="M27" i="9"/>
  <c r="M28" i="9"/>
  <c r="M29" i="9"/>
  <c r="M30" i="9"/>
  <c r="M21" i="9"/>
  <c r="L22" i="9"/>
  <c r="L23" i="9"/>
  <c r="L24" i="9"/>
  <c r="L25" i="9"/>
  <c r="L26" i="9"/>
  <c r="L27" i="9"/>
  <c r="L28" i="9"/>
  <c r="L29" i="9"/>
  <c r="L30" i="9"/>
  <c r="L21" i="9"/>
  <c r="K22" i="9"/>
  <c r="K23" i="9"/>
  <c r="K24" i="9"/>
  <c r="K25" i="9"/>
  <c r="K26" i="9"/>
  <c r="K27" i="9"/>
  <c r="K28" i="9"/>
  <c r="K29" i="9"/>
  <c r="K30" i="9"/>
  <c r="K21" i="9"/>
  <c r="K34" i="9" s="1"/>
  <c r="N41" i="1"/>
  <c r="L31" i="9" l="1"/>
  <c r="M31" i="9"/>
  <c r="K31" i="9"/>
  <c r="I22" i="9"/>
  <c r="I35" i="9" s="1"/>
  <c r="I23" i="9"/>
  <c r="I36" i="9" s="1"/>
  <c r="I24" i="9"/>
  <c r="I37" i="9" s="1"/>
  <c r="I25" i="9"/>
  <c r="I38" i="9" s="1"/>
  <c r="I26" i="9"/>
  <c r="I39" i="9" s="1"/>
  <c r="I27" i="9"/>
  <c r="I40" i="9" s="1"/>
  <c r="I28" i="9"/>
  <c r="I41" i="9" s="1"/>
  <c r="I29" i="9"/>
  <c r="I42" i="9" s="1"/>
  <c r="I30" i="9"/>
  <c r="I43" i="9" s="1"/>
  <c r="I21" i="9"/>
  <c r="I34" i="9" s="1"/>
  <c r="F22" i="9"/>
  <c r="H35" i="9" s="1"/>
  <c r="F23" i="9"/>
  <c r="H36" i="9" s="1"/>
  <c r="F24" i="9"/>
  <c r="H37" i="9" s="1"/>
  <c r="F25" i="9"/>
  <c r="H38" i="9" s="1"/>
  <c r="F26" i="9"/>
  <c r="H39" i="9" s="1"/>
  <c r="F27" i="9"/>
  <c r="H40" i="9" s="1"/>
  <c r="F28" i="9"/>
  <c r="H41" i="9" s="1"/>
  <c r="F29" i="9"/>
  <c r="H42" i="9" s="1"/>
  <c r="F30" i="9"/>
  <c r="H43" i="9" s="1"/>
  <c r="F21" i="9"/>
  <c r="E22" i="9"/>
  <c r="G35" i="9" s="1"/>
  <c r="E23" i="9"/>
  <c r="G36" i="9" s="1"/>
  <c r="E24" i="9"/>
  <c r="G37" i="9" s="1"/>
  <c r="E25" i="9"/>
  <c r="G38" i="9" s="1"/>
  <c r="E26" i="9"/>
  <c r="G39" i="9" s="1"/>
  <c r="E27" i="9"/>
  <c r="G40" i="9" s="1"/>
  <c r="E28" i="9"/>
  <c r="G41" i="9" s="1"/>
  <c r="E29" i="9"/>
  <c r="G42" i="9" s="1"/>
  <c r="E30" i="9"/>
  <c r="G43" i="9" s="1"/>
  <c r="M43" i="9"/>
  <c r="M42" i="9"/>
  <c r="L42" i="9"/>
  <c r="K42" i="9"/>
  <c r="M41" i="9"/>
  <c r="L43" i="9"/>
  <c r="K43" i="9"/>
  <c r="M40" i="9"/>
  <c r="L40" i="9"/>
  <c r="K40" i="9"/>
  <c r="M39" i="9"/>
  <c r="L39" i="9"/>
  <c r="K39" i="9"/>
  <c r="M38" i="9"/>
  <c r="L38" i="9"/>
  <c r="K38" i="9"/>
  <c r="M37" i="9"/>
  <c r="L37" i="9"/>
  <c r="K37" i="9"/>
  <c r="M36" i="9"/>
  <c r="L36" i="9"/>
  <c r="K36" i="9"/>
  <c r="M35" i="9"/>
  <c r="L35" i="9"/>
  <c r="K35" i="9"/>
  <c r="M34" i="9"/>
  <c r="L34" i="9"/>
  <c r="F31" i="9" l="1"/>
  <c r="I44" i="9"/>
  <c r="M44" i="9"/>
  <c r="M47" i="9" s="1"/>
  <c r="I31" i="9"/>
  <c r="H34" i="9"/>
  <c r="H44" i="9" s="1"/>
  <c r="K41" i="9"/>
  <c r="K44" i="9" s="1"/>
  <c r="L41" i="9"/>
  <c r="L44" i="9" s="1"/>
  <c r="K16" i="8" l="1"/>
  <c r="J4" i="8"/>
  <c r="I6" i="8"/>
  <c r="I6" i="4"/>
  <c r="K166" i="4"/>
  <c r="J11" i="8" l="1"/>
  <c r="J8" i="8"/>
  <c r="J9" i="8"/>
  <c r="J10" i="8"/>
  <c r="J7" i="8"/>
  <c r="J6" i="8"/>
  <c r="B14" i="8"/>
  <c r="B11" i="8"/>
  <c r="B12" i="8"/>
  <c r="B13" i="8"/>
  <c r="B10" i="8"/>
  <c r="B9" i="8"/>
  <c r="B14" i="4"/>
  <c r="B11" i="4"/>
  <c r="B12" i="4"/>
  <c r="B13" i="4"/>
  <c r="B10" i="4"/>
  <c r="B9" i="4"/>
  <c r="K11" i="4"/>
  <c r="K8" i="4"/>
  <c r="K9" i="4"/>
  <c r="K10" i="4"/>
  <c r="K7" i="4"/>
  <c r="K6" i="4"/>
  <c r="B142" i="8"/>
  <c r="L135" i="8" l="1"/>
  <c r="J135" i="8"/>
  <c r="I135" i="8"/>
  <c r="G135" i="8"/>
  <c r="F135" i="8"/>
  <c r="F136" i="8" s="1"/>
  <c r="D136" i="8" s="1"/>
  <c r="B135" i="8"/>
  <c r="L133" i="8"/>
  <c r="J133" i="8"/>
  <c r="I133" i="8"/>
  <c r="G133" i="8"/>
  <c r="F133" i="8"/>
  <c r="F134" i="8" s="1"/>
  <c r="D134" i="8" s="1"/>
  <c r="B133" i="8"/>
  <c r="L131" i="8"/>
  <c r="J131" i="8"/>
  <c r="I131" i="8"/>
  <c r="G131" i="8"/>
  <c r="F131" i="8"/>
  <c r="D131" i="8" s="1"/>
  <c r="B131" i="8"/>
  <c r="L129" i="8"/>
  <c r="J129" i="8"/>
  <c r="I129" i="8"/>
  <c r="G129" i="8"/>
  <c r="F129" i="8"/>
  <c r="F130" i="8" s="1"/>
  <c r="D130" i="8" s="1"/>
  <c r="B129" i="8"/>
  <c r="L127" i="8"/>
  <c r="J127" i="8"/>
  <c r="I127" i="8"/>
  <c r="G127" i="8"/>
  <c r="F127" i="8"/>
  <c r="F128" i="8" s="1"/>
  <c r="D128" i="8" s="1"/>
  <c r="B127" i="8"/>
  <c r="L125" i="8"/>
  <c r="J125" i="8"/>
  <c r="I125" i="8"/>
  <c r="G125" i="8"/>
  <c r="F125" i="8"/>
  <c r="F126" i="8" s="1"/>
  <c r="D126" i="8" s="1"/>
  <c r="B125" i="8"/>
  <c r="L123" i="8"/>
  <c r="J123" i="8"/>
  <c r="I123" i="8"/>
  <c r="G123" i="8"/>
  <c r="F123" i="8"/>
  <c r="F124" i="8" s="1"/>
  <c r="D124" i="8" s="1"/>
  <c r="B123" i="8"/>
  <c r="L121" i="8"/>
  <c r="J121" i="8"/>
  <c r="I121" i="8"/>
  <c r="G121" i="8"/>
  <c r="F121" i="8"/>
  <c r="D121" i="8" s="1"/>
  <c r="B121" i="8"/>
  <c r="L119" i="8"/>
  <c r="J119" i="8"/>
  <c r="I119" i="8"/>
  <c r="G119" i="8"/>
  <c r="F119" i="8"/>
  <c r="F120" i="8" s="1"/>
  <c r="D120" i="8" s="1"/>
  <c r="B119" i="8"/>
  <c r="L117" i="8"/>
  <c r="J117" i="8"/>
  <c r="I117" i="8"/>
  <c r="G117" i="8"/>
  <c r="F117" i="8"/>
  <c r="F118" i="8" s="1"/>
  <c r="D118" i="8" s="1"/>
  <c r="B117" i="8"/>
  <c r="L111" i="8"/>
  <c r="J111" i="8"/>
  <c r="I111" i="8"/>
  <c r="G111" i="8"/>
  <c r="F111" i="8"/>
  <c r="F112" i="8" s="1"/>
  <c r="D112" i="8" s="1"/>
  <c r="B111" i="8"/>
  <c r="L109" i="8"/>
  <c r="J109" i="8"/>
  <c r="I109" i="8"/>
  <c r="G109" i="8"/>
  <c r="F109" i="8"/>
  <c r="F110" i="8" s="1"/>
  <c r="D110" i="8" s="1"/>
  <c r="B109" i="8"/>
  <c r="L107" i="8"/>
  <c r="J107" i="8"/>
  <c r="I107" i="8"/>
  <c r="G107" i="8"/>
  <c r="F107" i="8"/>
  <c r="F108" i="8" s="1"/>
  <c r="D108" i="8" s="1"/>
  <c r="B107" i="8"/>
  <c r="L105" i="8"/>
  <c r="J105" i="8"/>
  <c r="I105" i="8"/>
  <c r="G105" i="8"/>
  <c r="F105" i="8"/>
  <c r="F106" i="8" s="1"/>
  <c r="D106" i="8" s="1"/>
  <c r="B105" i="8"/>
  <c r="L103" i="8"/>
  <c r="J103" i="8"/>
  <c r="I103" i="8"/>
  <c r="G103" i="8"/>
  <c r="F103" i="8"/>
  <c r="F104" i="8" s="1"/>
  <c r="D104" i="8" s="1"/>
  <c r="B103" i="8"/>
  <c r="L101" i="8"/>
  <c r="J101" i="8"/>
  <c r="I101" i="8"/>
  <c r="G101" i="8"/>
  <c r="F101" i="8"/>
  <c r="F102" i="8" s="1"/>
  <c r="D102" i="8" s="1"/>
  <c r="B101" i="8"/>
  <c r="L99" i="8"/>
  <c r="J99" i="8"/>
  <c r="I99" i="8"/>
  <c r="G99" i="8"/>
  <c r="F99" i="8"/>
  <c r="F100" i="8" s="1"/>
  <c r="D100" i="8" s="1"/>
  <c r="B99" i="8"/>
  <c r="L97" i="8"/>
  <c r="J97" i="8"/>
  <c r="I97" i="8"/>
  <c r="G97" i="8"/>
  <c r="F97" i="8"/>
  <c r="D97" i="8" s="1"/>
  <c r="B97" i="8"/>
  <c r="L95" i="8"/>
  <c r="J95" i="8"/>
  <c r="I95" i="8"/>
  <c r="G95" i="8"/>
  <c r="F95" i="8"/>
  <c r="F96" i="8" s="1"/>
  <c r="D96" i="8" s="1"/>
  <c r="B95" i="8"/>
  <c r="L93" i="8"/>
  <c r="J93" i="8"/>
  <c r="I93" i="8"/>
  <c r="G93" i="8"/>
  <c r="F93" i="8"/>
  <c r="F94" i="8" s="1"/>
  <c r="D94" i="8" s="1"/>
  <c r="B93" i="8"/>
  <c r="L87" i="8"/>
  <c r="J87" i="8"/>
  <c r="I87" i="8"/>
  <c r="G87" i="8"/>
  <c r="F87" i="8"/>
  <c r="F88" i="8" s="1"/>
  <c r="D88" i="8" s="1"/>
  <c r="B87" i="8"/>
  <c r="L85" i="8"/>
  <c r="J85" i="8"/>
  <c r="I85" i="8"/>
  <c r="G85" i="8"/>
  <c r="F85" i="8"/>
  <c r="F86" i="8" s="1"/>
  <c r="D86" i="8" s="1"/>
  <c r="B85" i="8"/>
  <c r="L83" i="8"/>
  <c r="J83" i="8"/>
  <c r="I83" i="8"/>
  <c r="G83" i="8"/>
  <c r="F83" i="8"/>
  <c r="F84" i="8" s="1"/>
  <c r="D84" i="8" s="1"/>
  <c r="B83" i="8"/>
  <c r="L81" i="8"/>
  <c r="J81" i="8"/>
  <c r="I81" i="8"/>
  <c r="G81" i="8"/>
  <c r="F81" i="8"/>
  <c r="F82" i="8" s="1"/>
  <c r="D82" i="8" s="1"/>
  <c r="B81" i="8"/>
  <c r="L79" i="8"/>
  <c r="J79" i="8"/>
  <c r="I79" i="8"/>
  <c r="G79" i="8"/>
  <c r="F79" i="8"/>
  <c r="D79" i="8" s="1"/>
  <c r="B79" i="8"/>
  <c r="L77" i="8"/>
  <c r="J77" i="8"/>
  <c r="I77" i="8"/>
  <c r="G77" i="8"/>
  <c r="F77" i="8"/>
  <c r="F78" i="8" s="1"/>
  <c r="D78" i="8" s="1"/>
  <c r="B77" i="8"/>
  <c r="L75" i="8"/>
  <c r="J75" i="8"/>
  <c r="I75" i="8"/>
  <c r="G75" i="8"/>
  <c r="F75" i="8"/>
  <c r="F76" i="8" s="1"/>
  <c r="D76" i="8" s="1"/>
  <c r="B75" i="8"/>
  <c r="L73" i="8"/>
  <c r="J73" i="8"/>
  <c r="I73" i="8"/>
  <c r="G73" i="8"/>
  <c r="F73" i="8"/>
  <c r="D73" i="8" s="1"/>
  <c r="B73" i="8"/>
  <c r="L71" i="8"/>
  <c r="J71" i="8"/>
  <c r="I71" i="8"/>
  <c r="G71" i="8"/>
  <c r="F71" i="8"/>
  <c r="F72" i="8" s="1"/>
  <c r="D72" i="8" s="1"/>
  <c r="B71" i="8"/>
  <c r="L69" i="8"/>
  <c r="J69" i="8"/>
  <c r="I69" i="8"/>
  <c r="G69" i="8"/>
  <c r="F69" i="8"/>
  <c r="F70" i="8" s="1"/>
  <c r="D70" i="8" s="1"/>
  <c r="B69" i="8"/>
  <c r="L63" i="8"/>
  <c r="J63" i="8"/>
  <c r="I63" i="8"/>
  <c r="G63" i="8"/>
  <c r="F63" i="8"/>
  <c r="F64" i="8" s="1"/>
  <c r="D64" i="8" s="1"/>
  <c r="B63" i="8"/>
  <c r="L61" i="8"/>
  <c r="J61" i="8"/>
  <c r="I61" i="8"/>
  <c r="G61" i="8"/>
  <c r="F61" i="8"/>
  <c r="F62" i="8" s="1"/>
  <c r="D62" i="8" s="1"/>
  <c r="B61" i="8"/>
  <c r="L59" i="8"/>
  <c r="J59" i="8"/>
  <c r="I59" i="8"/>
  <c r="G59" i="8"/>
  <c r="F59" i="8"/>
  <c r="D59" i="8" s="1"/>
  <c r="B59" i="8"/>
  <c r="L57" i="8"/>
  <c r="J57" i="8"/>
  <c r="I57" i="8"/>
  <c r="G57" i="8"/>
  <c r="F57" i="8"/>
  <c r="F58" i="8" s="1"/>
  <c r="D58" i="8" s="1"/>
  <c r="B57" i="8"/>
  <c r="L55" i="8"/>
  <c r="J55" i="8"/>
  <c r="I55" i="8"/>
  <c r="G55" i="8"/>
  <c r="F55" i="8"/>
  <c r="F56" i="8" s="1"/>
  <c r="D56" i="8" s="1"/>
  <c r="B55" i="8"/>
  <c r="L53" i="8"/>
  <c r="J53" i="8"/>
  <c r="I53" i="8"/>
  <c r="G53" i="8"/>
  <c r="F53" i="8"/>
  <c r="F54" i="8" s="1"/>
  <c r="D54" i="8" s="1"/>
  <c r="B53" i="8"/>
  <c r="L51" i="8"/>
  <c r="J51" i="8"/>
  <c r="I51" i="8"/>
  <c r="G51" i="8"/>
  <c r="F51" i="8"/>
  <c r="F52" i="8" s="1"/>
  <c r="D52" i="8" s="1"/>
  <c r="B51" i="8"/>
  <c r="L49" i="8"/>
  <c r="J49" i="8"/>
  <c r="I49" i="8"/>
  <c r="G49" i="8"/>
  <c r="F49" i="8"/>
  <c r="D49" i="8" s="1"/>
  <c r="B49" i="8"/>
  <c r="L47" i="8"/>
  <c r="J47" i="8"/>
  <c r="I47" i="8"/>
  <c r="G47" i="8"/>
  <c r="F47" i="8"/>
  <c r="F48" i="8" s="1"/>
  <c r="D48" i="8" s="1"/>
  <c r="B47" i="8"/>
  <c r="L45" i="8"/>
  <c r="J45" i="8"/>
  <c r="I45" i="8"/>
  <c r="G45" i="8"/>
  <c r="F45" i="8"/>
  <c r="F46" i="8" s="1"/>
  <c r="D46" i="8" s="1"/>
  <c r="B45" i="8"/>
  <c r="B39" i="8"/>
  <c r="B37" i="8"/>
  <c r="B35" i="8"/>
  <c r="B33" i="8"/>
  <c r="B29" i="8"/>
  <c r="B31" i="8"/>
  <c r="B27" i="8"/>
  <c r="B25" i="8"/>
  <c r="B23" i="8"/>
  <c r="B21" i="8"/>
  <c r="A17" i="8"/>
  <c r="B16" i="8"/>
  <c r="B15" i="8"/>
  <c r="K133" i="8" l="1"/>
  <c r="K111" i="8"/>
  <c r="D133" i="8"/>
  <c r="K55" i="8"/>
  <c r="K49" i="8"/>
  <c r="D61" i="8"/>
  <c r="K45" i="8"/>
  <c r="K61" i="8"/>
  <c r="D51" i="8"/>
  <c r="K85" i="8"/>
  <c r="D109" i="8"/>
  <c r="K71" i="8"/>
  <c r="K79" i="8"/>
  <c r="D125" i="8"/>
  <c r="K129" i="8"/>
  <c r="K69" i="8"/>
  <c r="D81" i="8"/>
  <c r="K73" i="8"/>
  <c r="K53" i="8"/>
  <c r="D57" i="8"/>
  <c r="K63" i="8"/>
  <c r="K135" i="8"/>
  <c r="K125" i="8"/>
  <c r="K75" i="8"/>
  <c r="D83" i="8"/>
  <c r="D105" i="8"/>
  <c r="K123" i="8"/>
  <c r="D101" i="8"/>
  <c r="K51" i="8"/>
  <c r="K119" i="8"/>
  <c r="K83" i="8"/>
  <c r="K105" i="8"/>
  <c r="K77" i="8"/>
  <c r="K81" i="8"/>
  <c r="K99" i="8"/>
  <c r="K131" i="8"/>
  <c r="K47" i="8"/>
  <c r="K87" i="8"/>
  <c r="D95" i="8"/>
  <c r="I137" i="8"/>
  <c r="D135" i="8"/>
  <c r="K101" i="8"/>
  <c r="D77" i="8"/>
  <c r="K95" i="8"/>
  <c r="D45" i="8"/>
  <c r="D71" i="8"/>
  <c r="D111" i="8"/>
  <c r="D117" i="8"/>
  <c r="K127" i="8"/>
  <c r="L65" i="8"/>
  <c r="G113" i="8"/>
  <c r="J137" i="8"/>
  <c r="I113" i="8"/>
  <c r="L137" i="8"/>
  <c r="K57" i="8"/>
  <c r="G89" i="8"/>
  <c r="J113" i="8"/>
  <c r="K103" i="8"/>
  <c r="K109" i="8"/>
  <c r="I89" i="8"/>
  <c r="L113" i="8"/>
  <c r="K107" i="8"/>
  <c r="D119" i="8"/>
  <c r="G65" i="8"/>
  <c r="J89" i="8"/>
  <c r="K121" i="8"/>
  <c r="K59" i="8"/>
  <c r="I65" i="8"/>
  <c r="L89" i="8"/>
  <c r="G137" i="8"/>
  <c r="J65" i="8"/>
  <c r="D55" i="8"/>
  <c r="D87" i="8"/>
  <c r="K97" i="8"/>
  <c r="D107" i="8"/>
  <c r="D127" i="8"/>
  <c r="D93" i="8"/>
  <c r="F132" i="8"/>
  <c r="D132" i="8" s="1"/>
  <c r="D129" i="8"/>
  <c r="F122" i="8"/>
  <c r="D122" i="8" s="1"/>
  <c r="K117" i="8"/>
  <c r="D123" i="8"/>
  <c r="K93" i="8"/>
  <c r="D99" i="8"/>
  <c r="F98" i="8"/>
  <c r="D98" i="8" s="1"/>
  <c r="D103" i="8"/>
  <c r="D75" i="8"/>
  <c r="F80" i="8"/>
  <c r="D80" i="8" s="1"/>
  <c r="D69" i="8"/>
  <c r="D85" i="8"/>
  <c r="F74" i="8"/>
  <c r="D74" i="8" s="1"/>
  <c r="F50" i="8"/>
  <c r="D50" i="8" s="1"/>
  <c r="D53" i="8"/>
  <c r="D47" i="8"/>
  <c r="F60" i="8"/>
  <c r="D60" i="8" s="1"/>
  <c r="D63" i="8"/>
  <c r="K39" i="8"/>
  <c r="K37" i="8"/>
  <c r="K35" i="8"/>
  <c r="K33" i="8"/>
  <c r="K31" i="8"/>
  <c r="K29" i="8"/>
  <c r="K27" i="8"/>
  <c r="K25" i="8"/>
  <c r="K23" i="8"/>
  <c r="K21" i="8"/>
  <c r="J39" i="8"/>
  <c r="J37" i="8"/>
  <c r="J35" i="8"/>
  <c r="J33" i="8"/>
  <c r="J31" i="8"/>
  <c r="J29" i="8"/>
  <c r="J27" i="8"/>
  <c r="J25" i="8"/>
  <c r="J23" i="8"/>
  <c r="I39" i="8"/>
  <c r="I37" i="8"/>
  <c r="I35" i="8"/>
  <c r="I33" i="8"/>
  <c r="I31" i="8"/>
  <c r="I29" i="8"/>
  <c r="I27" i="8"/>
  <c r="I25" i="8"/>
  <c r="I23" i="8"/>
  <c r="I21" i="8"/>
  <c r="G39" i="8"/>
  <c r="G37" i="8"/>
  <c r="G35" i="8"/>
  <c r="G33" i="8"/>
  <c r="G31" i="8"/>
  <c r="G29" i="8"/>
  <c r="G27" i="8"/>
  <c r="G25" i="8"/>
  <c r="G23" i="8"/>
  <c r="G21" i="8"/>
  <c r="F21" i="8"/>
  <c r="F22" i="8" s="1"/>
  <c r="K41" i="8" l="1"/>
  <c r="E21" i="1"/>
  <c r="D22" i="8"/>
  <c r="D21" i="8"/>
  <c r="F39" i="8"/>
  <c r="F40" i="8" s="1"/>
  <c r="D40" i="8" s="1"/>
  <c r="F37" i="8"/>
  <c r="F38" i="8" s="1"/>
  <c r="D38" i="8" s="1"/>
  <c r="F35" i="8"/>
  <c r="F36" i="8" s="1"/>
  <c r="D36" i="8" s="1"/>
  <c r="F33" i="8"/>
  <c r="D33" i="8" s="1"/>
  <c r="F31" i="8"/>
  <c r="F29" i="8"/>
  <c r="F30" i="8" s="1"/>
  <c r="D30" i="8" s="1"/>
  <c r="F27" i="8"/>
  <c r="F28" i="8" s="1"/>
  <c r="D28" i="8" s="1"/>
  <c r="F25" i="8"/>
  <c r="F26" i="8" s="1"/>
  <c r="D26" i="8" s="1"/>
  <c r="F23" i="8"/>
  <c r="B144" i="8"/>
  <c r="B146" i="8" s="1"/>
  <c r="B148" i="8" s="1"/>
  <c r="B150" i="8" s="1"/>
  <c r="B152" i="8" s="1"/>
  <c r="B154" i="8" s="1"/>
  <c r="B156" i="8" s="1"/>
  <c r="B158" i="8" s="1"/>
  <c r="B160" i="8" s="1"/>
  <c r="I41" i="8"/>
  <c r="G41" i="8"/>
  <c r="E21" i="8" l="1"/>
  <c r="C21" i="9"/>
  <c r="E34" i="9" s="1"/>
  <c r="H21" i="9"/>
  <c r="F34" i="9" s="1"/>
  <c r="D39" i="8"/>
  <c r="D35" i="8"/>
  <c r="D37" i="8"/>
  <c r="D29" i="8"/>
  <c r="D27" i="8"/>
  <c r="D25" i="8"/>
  <c r="D31" i="8"/>
  <c r="D23" i="8"/>
  <c r="F34" i="8"/>
  <c r="D34" i="8" s="1"/>
  <c r="F24" i="8"/>
  <c r="D24" i="8" s="1"/>
  <c r="F32" i="8"/>
  <c r="D32" i="8" s="1"/>
  <c r="J146" i="4" l="1"/>
  <c r="J148" i="4"/>
  <c r="J154" i="4"/>
  <c r="J162" i="4"/>
  <c r="J144" i="4"/>
  <c r="J145" i="4"/>
  <c r="J147" i="4"/>
  <c r="J149" i="4"/>
  <c r="J150" i="4"/>
  <c r="J151" i="4"/>
  <c r="J152" i="4"/>
  <c r="J153" i="4"/>
  <c r="J155" i="4"/>
  <c r="J156" i="4"/>
  <c r="J157" i="4"/>
  <c r="J158" i="4"/>
  <c r="J159" i="4"/>
  <c r="J160" i="4"/>
  <c r="J161" i="4"/>
  <c r="J143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19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95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71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45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P161" i="1"/>
  <c r="P137" i="1"/>
  <c r="P113" i="1"/>
  <c r="P89" i="1"/>
  <c r="P65" i="1"/>
  <c r="P41" i="1"/>
  <c r="D21" i="1"/>
  <c r="D22" i="1"/>
  <c r="D23" i="1"/>
  <c r="D24" i="1"/>
  <c r="D25" i="1"/>
  <c r="D26" i="1"/>
  <c r="D27" i="1"/>
  <c r="D28" i="1"/>
  <c r="K163" i="4" l="1"/>
  <c r="I162" i="4"/>
  <c r="G162" i="4"/>
  <c r="B162" i="4"/>
  <c r="I161" i="4"/>
  <c r="G161" i="4"/>
  <c r="B161" i="4"/>
  <c r="I160" i="4"/>
  <c r="G160" i="4"/>
  <c r="B160" i="4"/>
  <c r="I159" i="4"/>
  <c r="G159" i="4"/>
  <c r="B159" i="4"/>
  <c r="I158" i="4"/>
  <c r="G158" i="4"/>
  <c r="B158" i="4"/>
  <c r="I157" i="4"/>
  <c r="G157" i="4"/>
  <c r="B157" i="4"/>
  <c r="I156" i="4"/>
  <c r="G156" i="4"/>
  <c r="B156" i="4"/>
  <c r="I155" i="4"/>
  <c r="G155" i="4"/>
  <c r="B155" i="4"/>
  <c r="I154" i="4"/>
  <c r="G154" i="4"/>
  <c r="B154" i="4"/>
  <c r="I153" i="4"/>
  <c r="G153" i="4"/>
  <c r="B153" i="4"/>
  <c r="I152" i="4"/>
  <c r="G152" i="4"/>
  <c r="B152" i="4"/>
  <c r="I151" i="4"/>
  <c r="G151" i="4"/>
  <c r="B151" i="4"/>
  <c r="I150" i="4"/>
  <c r="G150" i="4"/>
  <c r="B150" i="4"/>
  <c r="I149" i="4"/>
  <c r="G149" i="4"/>
  <c r="B149" i="4"/>
  <c r="I148" i="4"/>
  <c r="G148" i="4"/>
  <c r="B148" i="4"/>
  <c r="I147" i="4"/>
  <c r="G147" i="4"/>
  <c r="B147" i="4"/>
  <c r="I146" i="4"/>
  <c r="G146" i="4"/>
  <c r="B146" i="4"/>
  <c r="I145" i="4"/>
  <c r="G145" i="4"/>
  <c r="B145" i="4"/>
  <c r="I144" i="4"/>
  <c r="G144" i="4"/>
  <c r="B144" i="4"/>
  <c r="I143" i="4"/>
  <c r="G143" i="4"/>
  <c r="B143" i="4"/>
  <c r="M161" i="1"/>
  <c r="L161" i="1"/>
  <c r="I161" i="1"/>
  <c r="G161" i="1"/>
  <c r="K160" i="1"/>
  <c r="H160" i="1"/>
  <c r="E160" i="1"/>
  <c r="C160" i="1" s="1"/>
  <c r="D160" i="1"/>
  <c r="K159" i="1"/>
  <c r="H159" i="1"/>
  <c r="E159" i="1"/>
  <c r="C159" i="1" s="1"/>
  <c r="D159" i="1"/>
  <c r="K158" i="1"/>
  <c r="H158" i="1"/>
  <c r="E158" i="1"/>
  <c r="C158" i="1" s="1"/>
  <c r="D158" i="1"/>
  <c r="K157" i="1"/>
  <c r="H157" i="1"/>
  <c r="E157" i="1"/>
  <c r="C157" i="1" s="1"/>
  <c r="D157" i="1"/>
  <c r="K156" i="1"/>
  <c r="H156" i="1"/>
  <c r="E156" i="1"/>
  <c r="C156" i="1" s="1"/>
  <c r="D156" i="1"/>
  <c r="K155" i="1"/>
  <c r="H155" i="1"/>
  <c r="E155" i="1"/>
  <c r="C155" i="1" s="1"/>
  <c r="D155" i="1"/>
  <c r="K154" i="1"/>
  <c r="H154" i="1"/>
  <c r="E154" i="1"/>
  <c r="C154" i="1" s="1"/>
  <c r="D154" i="1"/>
  <c r="K153" i="1"/>
  <c r="H153" i="1"/>
  <c r="H155" i="4" s="1"/>
  <c r="E153" i="1"/>
  <c r="C153" i="1" s="1"/>
  <c r="D153" i="1"/>
  <c r="K152" i="1"/>
  <c r="H152" i="1"/>
  <c r="H154" i="4" s="1"/>
  <c r="E152" i="1"/>
  <c r="C152" i="1" s="1"/>
  <c r="D152" i="1"/>
  <c r="D154" i="4" s="1"/>
  <c r="K151" i="1"/>
  <c r="H151" i="1"/>
  <c r="H153" i="4" s="1"/>
  <c r="E151" i="1"/>
  <c r="C151" i="1" s="1"/>
  <c r="D151" i="1"/>
  <c r="D153" i="4" s="1"/>
  <c r="K150" i="1"/>
  <c r="H150" i="1"/>
  <c r="H152" i="4" s="1"/>
  <c r="E150" i="1"/>
  <c r="C150" i="1" s="1"/>
  <c r="D150" i="1"/>
  <c r="D152" i="4" s="1"/>
  <c r="K149" i="1"/>
  <c r="H149" i="1"/>
  <c r="H151" i="4" s="1"/>
  <c r="E149" i="1"/>
  <c r="C149" i="1" s="1"/>
  <c r="D149" i="1"/>
  <c r="D151" i="4" s="1"/>
  <c r="K148" i="1"/>
  <c r="H148" i="1"/>
  <c r="E148" i="1"/>
  <c r="C148" i="1" s="1"/>
  <c r="D148" i="1"/>
  <c r="D150" i="4" s="1"/>
  <c r="K147" i="1"/>
  <c r="H147" i="1"/>
  <c r="E147" i="1"/>
  <c r="C147" i="1" s="1"/>
  <c r="D147" i="1"/>
  <c r="D149" i="4" s="1"/>
  <c r="K146" i="1"/>
  <c r="H146" i="1"/>
  <c r="H148" i="4" s="1"/>
  <c r="E146" i="1"/>
  <c r="C146" i="1" s="1"/>
  <c r="D146" i="1"/>
  <c r="D148" i="4" s="1"/>
  <c r="K145" i="1"/>
  <c r="H145" i="1"/>
  <c r="H147" i="4" s="1"/>
  <c r="E145" i="1"/>
  <c r="C145" i="1" s="1"/>
  <c r="D145" i="1"/>
  <c r="K144" i="1"/>
  <c r="H144" i="1"/>
  <c r="H146" i="4" s="1"/>
  <c r="E144" i="1"/>
  <c r="C144" i="1" s="1"/>
  <c r="D144" i="1"/>
  <c r="K143" i="1"/>
  <c r="H143" i="1"/>
  <c r="H145" i="4" s="1"/>
  <c r="E143" i="1"/>
  <c r="C143" i="1" s="1"/>
  <c r="D143" i="1"/>
  <c r="D145" i="4" s="1"/>
  <c r="K142" i="1"/>
  <c r="H142" i="1"/>
  <c r="H144" i="4" s="1"/>
  <c r="E142" i="1"/>
  <c r="C142" i="1" s="1"/>
  <c r="D142" i="1"/>
  <c r="D144" i="4" s="1"/>
  <c r="K141" i="1"/>
  <c r="H141" i="1"/>
  <c r="H143" i="4" s="1"/>
  <c r="E141" i="1"/>
  <c r="C141" i="1" s="1"/>
  <c r="D141" i="1"/>
  <c r="D143" i="4" s="1"/>
  <c r="K139" i="4"/>
  <c r="I138" i="4"/>
  <c r="G138" i="4"/>
  <c r="B138" i="4"/>
  <c r="I137" i="4"/>
  <c r="G137" i="4"/>
  <c r="B137" i="4"/>
  <c r="I136" i="4"/>
  <c r="G136" i="4"/>
  <c r="B136" i="4"/>
  <c r="I135" i="4"/>
  <c r="G135" i="4"/>
  <c r="B135" i="4"/>
  <c r="I134" i="4"/>
  <c r="G134" i="4"/>
  <c r="B134" i="4"/>
  <c r="I133" i="4"/>
  <c r="G133" i="4"/>
  <c r="B133" i="4"/>
  <c r="I132" i="4"/>
  <c r="G132" i="4"/>
  <c r="B132" i="4"/>
  <c r="I131" i="4"/>
  <c r="G131" i="4"/>
  <c r="B131" i="4"/>
  <c r="I130" i="4"/>
  <c r="G130" i="4"/>
  <c r="B130" i="4"/>
  <c r="I129" i="4"/>
  <c r="G129" i="4"/>
  <c r="B129" i="4"/>
  <c r="I128" i="4"/>
  <c r="G128" i="4"/>
  <c r="B128" i="4"/>
  <c r="I127" i="4"/>
  <c r="G127" i="4"/>
  <c r="B127" i="4"/>
  <c r="I126" i="4"/>
  <c r="G126" i="4"/>
  <c r="B126" i="4"/>
  <c r="I125" i="4"/>
  <c r="G125" i="4"/>
  <c r="B125" i="4"/>
  <c r="I124" i="4"/>
  <c r="G124" i="4"/>
  <c r="B124" i="4"/>
  <c r="I123" i="4"/>
  <c r="G123" i="4"/>
  <c r="B123" i="4"/>
  <c r="I122" i="4"/>
  <c r="G122" i="4"/>
  <c r="B122" i="4"/>
  <c r="I121" i="4"/>
  <c r="G121" i="4"/>
  <c r="B121" i="4"/>
  <c r="I120" i="4"/>
  <c r="G120" i="4"/>
  <c r="B120" i="4"/>
  <c r="I119" i="4"/>
  <c r="G119" i="4"/>
  <c r="B119" i="4"/>
  <c r="K115" i="4"/>
  <c r="I114" i="4"/>
  <c r="G114" i="4"/>
  <c r="B114" i="4"/>
  <c r="I113" i="4"/>
  <c r="G113" i="4"/>
  <c r="B113" i="4"/>
  <c r="I112" i="4"/>
  <c r="G112" i="4"/>
  <c r="B112" i="4"/>
  <c r="I111" i="4"/>
  <c r="G111" i="4"/>
  <c r="B111" i="4"/>
  <c r="I110" i="4"/>
  <c r="G110" i="4"/>
  <c r="B110" i="4"/>
  <c r="I109" i="4"/>
  <c r="G109" i="4"/>
  <c r="B109" i="4"/>
  <c r="I108" i="4"/>
  <c r="G108" i="4"/>
  <c r="B108" i="4"/>
  <c r="I107" i="4"/>
  <c r="G107" i="4"/>
  <c r="B107" i="4"/>
  <c r="I106" i="4"/>
  <c r="G106" i="4"/>
  <c r="B106" i="4"/>
  <c r="I105" i="4"/>
  <c r="G105" i="4"/>
  <c r="B105" i="4"/>
  <c r="I104" i="4"/>
  <c r="G104" i="4"/>
  <c r="B104" i="4"/>
  <c r="I103" i="4"/>
  <c r="G103" i="4"/>
  <c r="B103" i="4"/>
  <c r="I102" i="4"/>
  <c r="G102" i="4"/>
  <c r="B102" i="4"/>
  <c r="I101" i="4"/>
  <c r="G101" i="4"/>
  <c r="B101" i="4"/>
  <c r="I100" i="4"/>
  <c r="G100" i="4"/>
  <c r="B100" i="4"/>
  <c r="I99" i="4"/>
  <c r="G99" i="4"/>
  <c r="B99" i="4"/>
  <c r="I98" i="4"/>
  <c r="G98" i="4"/>
  <c r="B98" i="4"/>
  <c r="I97" i="4"/>
  <c r="G97" i="4"/>
  <c r="B97" i="4"/>
  <c r="I96" i="4"/>
  <c r="G96" i="4"/>
  <c r="B96" i="4"/>
  <c r="I95" i="4"/>
  <c r="G95" i="4"/>
  <c r="B95" i="4"/>
  <c r="K91" i="4"/>
  <c r="I90" i="4"/>
  <c r="G90" i="4"/>
  <c r="B90" i="4"/>
  <c r="I89" i="4"/>
  <c r="G89" i="4"/>
  <c r="B89" i="4"/>
  <c r="I88" i="4"/>
  <c r="G88" i="4"/>
  <c r="B88" i="4"/>
  <c r="I87" i="4"/>
  <c r="G87" i="4"/>
  <c r="B87" i="4"/>
  <c r="I86" i="4"/>
  <c r="G86" i="4"/>
  <c r="B86" i="4"/>
  <c r="I85" i="4"/>
  <c r="G85" i="4"/>
  <c r="B85" i="4"/>
  <c r="I84" i="4"/>
  <c r="G84" i="4"/>
  <c r="B84" i="4"/>
  <c r="I83" i="4"/>
  <c r="G83" i="4"/>
  <c r="B83" i="4"/>
  <c r="I82" i="4"/>
  <c r="G82" i="4"/>
  <c r="B82" i="4"/>
  <c r="I81" i="4"/>
  <c r="G81" i="4"/>
  <c r="B81" i="4"/>
  <c r="I80" i="4"/>
  <c r="G80" i="4"/>
  <c r="B80" i="4"/>
  <c r="I79" i="4"/>
  <c r="G79" i="4"/>
  <c r="B79" i="4"/>
  <c r="I78" i="4"/>
  <c r="G78" i="4"/>
  <c r="B78" i="4"/>
  <c r="I77" i="4"/>
  <c r="G77" i="4"/>
  <c r="B77" i="4"/>
  <c r="I76" i="4"/>
  <c r="G76" i="4"/>
  <c r="B76" i="4"/>
  <c r="I75" i="4"/>
  <c r="G75" i="4"/>
  <c r="B75" i="4"/>
  <c r="I74" i="4"/>
  <c r="G74" i="4"/>
  <c r="B74" i="4"/>
  <c r="I73" i="4"/>
  <c r="G73" i="4"/>
  <c r="B73" i="4"/>
  <c r="I72" i="4"/>
  <c r="G72" i="4"/>
  <c r="B72" i="4"/>
  <c r="I71" i="4"/>
  <c r="G71" i="4"/>
  <c r="B71" i="4"/>
  <c r="K65" i="4"/>
  <c r="I64" i="4"/>
  <c r="G64" i="4"/>
  <c r="B64" i="4"/>
  <c r="I63" i="4"/>
  <c r="G63" i="4"/>
  <c r="B63" i="4"/>
  <c r="I62" i="4"/>
  <c r="G62" i="4"/>
  <c r="B62" i="4"/>
  <c r="I61" i="4"/>
  <c r="G61" i="4"/>
  <c r="B61" i="4"/>
  <c r="I60" i="4"/>
  <c r="G60" i="4"/>
  <c r="B60" i="4"/>
  <c r="I59" i="4"/>
  <c r="G59" i="4"/>
  <c r="B59" i="4"/>
  <c r="I58" i="4"/>
  <c r="G58" i="4"/>
  <c r="B58" i="4"/>
  <c r="I57" i="4"/>
  <c r="G57" i="4"/>
  <c r="B57" i="4"/>
  <c r="I56" i="4"/>
  <c r="G56" i="4"/>
  <c r="B56" i="4"/>
  <c r="I55" i="4"/>
  <c r="G55" i="4"/>
  <c r="B55" i="4"/>
  <c r="I54" i="4"/>
  <c r="G54" i="4"/>
  <c r="B54" i="4"/>
  <c r="I53" i="4"/>
  <c r="G53" i="4"/>
  <c r="B53" i="4"/>
  <c r="I52" i="4"/>
  <c r="G52" i="4"/>
  <c r="B52" i="4"/>
  <c r="I51" i="4"/>
  <c r="G51" i="4"/>
  <c r="B51" i="4"/>
  <c r="I50" i="4"/>
  <c r="G50" i="4"/>
  <c r="B50" i="4"/>
  <c r="I49" i="4"/>
  <c r="G49" i="4"/>
  <c r="B49" i="4"/>
  <c r="I48" i="4"/>
  <c r="G48" i="4"/>
  <c r="B48" i="4"/>
  <c r="I47" i="4"/>
  <c r="G47" i="4"/>
  <c r="B47" i="4"/>
  <c r="I46" i="4"/>
  <c r="G46" i="4"/>
  <c r="B46" i="4"/>
  <c r="I45" i="4"/>
  <c r="G45" i="4"/>
  <c r="B45" i="4"/>
  <c r="K41" i="4"/>
  <c r="I40" i="4"/>
  <c r="G40" i="4"/>
  <c r="B40" i="4"/>
  <c r="I39" i="4"/>
  <c r="G39" i="4"/>
  <c r="B39" i="4"/>
  <c r="I38" i="4"/>
  <c r="G38" i="4"/>
  <c r="B38" i="4"/>
  <c r="I37" i="4"/>
  <c r="G37" i="4"/>
  <c r="B37" i="4"/>
  <c r="I36" i="4"/>
  <c r="G36" i="4"/>
  <c r="B36" i="4"/>
  <c r="I35" i="4"/>
  <c r="G35" i="4"/>
  <c r="B35" i="4"/>
  <c r="I34" i="4"/>
  <c r="G34" i="4"/>
  <c r="B34" i="4"/>
  <c r="I33" i="4"/>
  <c r="G33" i="4"/>
  <c r="B33" i="4"/>
  <c r="I32" i="4"/>
  <c r="G32" i="4"/>
  <c r="B32" i="4"/>
  <c r="I31" i="4"/>
  <c r="G31" i="4"/>
  <c r="B31" i="4"/>
  <c r="I30" i="4"/>
  <c r="G30" i="4"/>
  <c r="B30" i="4"/>
  <c r="I29" i="4"/>
  <c r="G29" i="4"/>
  <c r="B29" i="4"/>
  <c r="I28" i="4"/>
  <c r="G28" i="4"/>
  <c r="B28" i="4"/>
  <c r="I27" i="4"/>
  <c r="G27" i="4"/>
  <c r="B27" i="4"/>
  <c r="I26" i="4"/>
  <c r="G26" i="4"/>
  <c r="B26" i="4"/>
  <c r="I25" i="4"/>
  <c r="G25" i="4"/>
  <c r="B25" i="4"/>
  <c r="I24" i="4"/>
  <c r="G24" i="4"/>
  <c r="B24" i="4"/>
  <c r="I23" i="4"/>
  <c r="G23" i="4"/>
  <c r="B23" i="4"/>
  <c r="I22" i="4"/>
  <c r="G22" i="4"/>
  <c r="B22" i="4"/>
  <c r="I21" i="4"/>
  <c r="G21" i="4"/>
  <c r="B21" i="4"/>
  <c r="L16" i="4"/>
  <c r="B16" i="4"/>
  <c r="B15" i="4"/>
  <c r="K4" i="4"/>
  <c r="M137" i="1"/>
  <c r="L137" i="1"/>
  <c r="I137" i="1"/>
  <c r="G137" i="1"/>
  <c r="K136" i="1"/>
  <c r="H136" i="1"/>
  <c r="H138" i="4" s="1"/>
  <c r="E136" i="1"/>
  <c r="C136" i="1" s="1"/>
  <c r="D136" i="1"/>
  <c r="K135" i="1"/>
  <c r="H135" i="1"/>
  <c r="E135" i="1"/>
  <c r="C135" i="1" s="1"/>
  <c r="D135" i="1"/>
  <c r="K134" i="1"/>
  <c r="H134" i="1"/>
  <c r="E134" i="1"/>
  <c r="C134" i="1" s="1"/>
  <c r="D134" i="1"/>
  <c r="K133" i="1"/>
  <c r="H133" i="1"/>
  <c r="E133" i="1"/>
  <c r="C133" i="1" s="1"/>
  <c r="D133" i="1"/>
  <c r="K132" i="1"/>
  <c r="H132" i="1"/>
  <c r="E132" i="1"/>
  <c r="C132" i="1" s="1"/>
  <c r="D132" i="1"/>
  <c r="K131" i="1"/>
  <c r="H131" i="1"/>
  <c r="E131" i="1"/>
  <c r="C131" i="1" s="1"/>
  <c r="D131" i="1"/>
  <c r="D133" i="4" s="1"/>
  <c r="K130" i="1"/>
  <c r="H130" i="1"/>
  <c r="E130" i="1"/>
  <c r="C130" i="1" s="1"/>
  <c r="D130" i="1"/>
  <c r="K129" i="1"/>
  <c r="H129" i="1"/>
  <c r="E129" i="1"/>
  <c r="C129" i="1" s="1"/>
  <c r="D129" i="1"/>
  <c r="K128" i="1"/>
  <c r="H128" i="1"/>
  <c r="H130" i="4" s="1"/>
  <c r="E128" i="1"/>
  <c r="C128" i="1" s="1"/>
  <c r="D128" i="1"/>
  <c r="K127" i="1"/>
  <c r="H127" i="1"/>
  <c r="E127" i="1"/>
  <c r="C127" i="1" s="1"/>
  <c r="D127" i="1"/>
  <c r="K126" i="1"/>
  <c r="H126" i="1"/>
  <c r="E126" i="1"/>
  <c r="C126" i="1" s="1"/>
  <c r="D126" i="1"/>
  <c r="K125" i="1"/>
  <c r="H125" i="1"/>
  <c r="H133" i="8" s="1"/>
  <c r="E125" i="1"/>
  <c r="D125" i="1"/>
  <c r="K124" i="1"/>
  <c r="H124" i="1"/>
  <c r="E124" i="1"/>
  <c r="D124" i="1"/>
  <c r="K123" i="1"/>
  <c r="H123" i="1"/>
  <c r="H129" i="8" s="1"/>
  <c r="E123" i="1"/>
  <c r="D123" i="1"/>
  <c r="K122" i="1"/>
  <c r="H122" i="1"/>
  <c r="H127" i="8" s="1"/>
  <c r="E122" i="1"/>
  <c r="C122" i="1" s="1"/>
  <c r="D122" i="1"/>
  <c r="K121" i="1"/>
  <c r="H121" i="1"/>
  <c r="H125" i="8" s="1"/>
  <c r="E121" i="1"/>
  <c r="D121" i="1"/>
  <c r="D123" i="4" s="1"/>
  <c r="K120" i="1"/>
  <c r="H120" i="1"/>
  <c r="E120" i="1"/>
  <c r="C120" i="1" s="1"/>
  <c r="D120" i="1"/>
  <c r="K119" i="1"/>
  <c r="H119" i="1"/>
  <c r="E119" i="1"/>
  <c r="D119" i="1"/>
  <c r="K118" i="1"/>
  <c r="H118" i="1"/>
  <c r="E118" i="1"/>
  <c r="C118" i="1" s="1"/>
  <c r="D118" i="1"/>
  <c r="K117" i="1"/>
  <c r="H117" i="1"/>
  <c r="H117" i="8" s="1"/>
  <c r="E117" i="1"/>
  <c r="D117" i="1"/>
  <c r="M113" i="1"/>
  <c r="L113" i="1"/>
  <c r="I113" i="1"/>
  <c r="G113" i="1"/>
  <c r="K112" i="1"/>
  <c r="H112" i="1"/>
  <c r="E112" i="1"/>
  <c r="C112" i="1" s="1"/>
  <c r="D112" i="1"/>
  <c r="K111" i="1"/>
  <c r="H111" i="1"/>
  <c r="E111" i="1"/>
  <c r="C111" i="1" s="1"/>
  <c r="D111" i="1"/>
  <c r="K110" i="1"/>
  <c r="H110" i="1"/>
  <c r="E110" i="1"/>
  <c r="C110" i="1" s="1"/>
  <c r="D110" i="1"/>
  <c r="K109" i="1"/>
  <c r="H109" i="1"/>
  <c r="E109" i="1"/>
  <c r="C109" i="1" s="1"/>
  <c r="D109" i="1"/>
  <c r="K108" i="1"/>
  <c r="H108" i="1"/>
  <c r="E108" i="1"/>
  <c r="C108" i="1" s="1"/>
  <c r="D108" i="1"/>
  <c r="D110" i="4" s="1"/>
  <c r="K107" i="1"/>
  <c r="H107" i="1"/>
  <c r="E107" i="1"/>
  <c r="C107" i="1" s="1"/>
  <c r="D107" i="1"/>
  <c r="K106" i="1"/>
  <c r="H106" i="1"/>
  <c r="E106" i="1"/>
  <c r="C106" i="1" s="1"/>
  <c r="D106" i="1"/>
  <c r="K105" i="1"/>
  <c r="H105" i="1"/>
  <c r="H107" i="4" s="1"/>
  <c r="E105" i="1"/>
  <c r="C105" i="1" s="1"/>
  <c r="D105" i="1"/>
  <c r="K104" i="1"/>
  <c r="H104" i="1"/>
  <c r="E104" i="1"/>
  <c r="C104" i="1" s="1"/>
  <c r="D104" i="1"/>
  <c r="K103" i="1"/>
  <c r="H103" i="1"/>
  <c r="E103" i="1"/>
  <c r="C103" i="1" s="1"/>
  <c r="D103" i="1"/>
  <c r="K102" i="1"/>
  <c r="H102" i="1"/>
  <c r="H111" i="8" s="1"/>
  <c r="E102" i="1"/>
  <c r="C102" i="1" s="1"/>
  <c r="D102" i="1"/>
  <c r="K101" i="1"/>
  <c r="H101" i="1"/>
  <c r="H109" i="8" s="1"/>
  <c r="E101" i="1"/>
  <c r="D101" i="1"/>
  <c r="K100" i="1"/>
  <c r="H100" i="1"/>
  <c r="H107" i="8" s="1"/>
  <c r="E100" i="1"/>
  <c r="D100" i="1"/>
  <c r="K99" i="1"/>
  <c r="H99" i="1"/>
  <c r="H105" i="8" s="1"/>
  <c r="E99" i="1"/>
  <c r="D99" i="1"/>
  <c r="K98" i="1"/>
  <c r="H98" i="1"/>
  <c r="H103" i="8" s="1"/>
  <c r="E98" i="1"/>
  <c r="C98" i="1" s="1"/>
  <c r="D98" i="1"/>
  <c r="K97" i="1"/>
  <c r="H97" i="1"/>
  <c r="H101" i="8" s="1"/>
  <c r="E97" i="1"/>
  <c r="D97" i="1"/>
  <c r="K96" i="1"/>
  <c r="H96" i="1"/>
  <c r="H99" i="8" s="1"/>
  <c r="E96" i="1"/>
  <c r="D96" i="1"/>
  <c r="K95" i="1"/>
  <c r="H95" i="1"/>
  <c r="H97" i="8" s="1"/>
  <c r="E95" i="1"/>
  <c r="D95" i="1"/>
  <c r="K94" i="1"/>
  <c r="H94" i="1"/>
  <c r="H95" i="8" s="1"/>
  <c r="E94" i="1"/>
  <c r="C94" i="1" s="1"/>
  <c r="D94" i="1"/>
  <c r="K93" i="1"/>
  <c r="H93" i="1"/>
  <c r="E93" i="1"/>
  <c r="D93" i="1"/>
  <c r="M89" i="1"/>
  <c r="L89" i="1"/>
  <c r="I89" i="1"/>
  <c r="G89" i="1"/>
  <c r="K88" i="1"/>
  <c r="H88" i="1"/>
  <c r="E88" i="1"/>
  <c r="C88" i="1" s="1"/>
  <c r="D88" i="1"/>
  <c r="K87" i="1"/>
  <c r="H87" i="1"/>
  <c r="E87" i="1"/>
  <c r="C87" i="1" s="1"/>
  <c r="D87" i="1"/>
  <c r="K86" i="1"/>
  <c r="H86" i="1"/>
  <c r="E86" i="1"/>
  <c r="C86" i="1" s="1"/>
  <c r="D86" i="1"/>
  <c r="D88" i="4" s="1"/>
  <c r="K85" i="1"/>
  <c r="H85" i="1"/>
  <c r="E85" i="1"/>
  <c r="C85" i="1" s="1"/>
  <c r="D85" i="1"/>
  <c r="K84" i="1"/>
  <c r="H84" i="1"/>
  <c r="E84" i="1"/>
  <c r="C84" i="1" s="1"/>
  <c r="D84" i="1"/>
  <c r="K83" i="1"/>
  <c r="H83" i="1"/>
  <c r="H85" i="4" s="1"/>
  <c r="E83" i="1"/>
  <c r="C83" i="1" s="1"/>
  <c r="D83" i="1"/>
  <c r="K82" i="1"/>
  <c r="H82" i="1"/>
  <c r="E82" i="1"/>
  <c r="C82" i="1" s="1"/>
  <c r="D82" i="1"/>
  <c r="D84" i="4" s="1"/>
  <c r="K81" i="1"/>
  <c r="H81" i="1"/>
  <c r="E81" i="1"/>
  <c r="C81" i="1" s="1"/>
  <c r="D81" i="1"/>
  <c r="K80" i="1"/>
  <c r="H80" i="1"/>
  <c r="E80" i="1"/>
  <c r="C80" i="1" s="1"/>
  <c r="D80" i="1"/>
  <c r="K79" i="1"/>
  <c r="H79" i="1"/>
  <c r="E79" i="1"/>
  <c r="C79" i="1" s="1"/>
  <c r="D79" i="1"/>
  <c r="K78" i="1"/>
  <c r="H78" i="1"/>
  <c r="E78" i="1"/>
  <c r="D78" i="1"/>
  <c r="K77" i="1"/>
  <c r="H77" i="1"/>
  <c r="H85" i="8" s="1"/>
  <c r="E77" i="1"/>
  <c r="C77" i="1" s="1"/>
  <c r="D77" i="1"/>
  <c r="K76" i="1"/>
  <c r="H76" i="1"/>
  <c r="H83" i="8" s="1"/>
  <c r="E76" i="1"/>
  <c r="D76" i="1"/>
  <c r="K75" i="1"/>
  <c r="H75" i="1"/>
  <c r="E75" i="1"/>
  <c r="D75" i="1"/>
  <c r="K74" i="1"/>
  <c r="H74" i="1"/>
  <c r="E74" i="1"/>
  <c r="D74" i="1"/>
  <c r="K73" i="1"/>
  <c r="H73" i="1"/>
  <c r="H77" i="8" s="1"/>
  <c r="E73" i="1"/>
  <c r="C73" i="1" s="1"/>
  <c r="D73" i="1"/>
  <c r="K72" i="1"/>
  <c r="H72" i="1"/>
  <c r="H75" i="8" s="1"/>
  <c r="E72" i="1"/>
  <c r="C72" i="1" s="1"/>
  <c r="D72" i="1"/>
  <c r="K71" i="1"/>
  <c r="H71" i="1"/>
  <c r="E71" i="1"/>
  <c r="D71" i="1"/>
  <c r="K70" i="1"/>
  <c r="H70" i="1"/>
  <c r="H71" i="8" s="1"/>
  <c r="E70" i="1"/>
  <c r="D70" i="1"/>
  <c r="D72" i="4" s="1"/>
  <c r="K69" i="1"/>
  <c r="H69" i="1"/>
  <c r="H69" i="8" s="1"/>
  <c r="E69" i="1"/>
  <c r="C69" i="1" s="1"/>
  <c r="D69" i="1"/>
  <c r="M65" i="1"/>
  <c r="L65" i="1"/>
  <c r="I65" i="1"/>
  <c r="G65" i="1"/>
  <c r="K64" i="1"/>
  <c r="H64" i="1"/>
  <c r="E64" i="1"/>
  <c r="C64" i="1" s="1"/>
  <c r="D64" i="1"/>
  <c r="K63" i="1"/>
  <c r="H63" i="1"/>
  <c r="E63" i="1"/>
  <c r="C63" i="1" s="1"/>
  <c r="D63" i="1"/>
  <c r="K62" i="1"/>
  <c r="H62" i="1"/>
  <c r="E62" i="1"/>
  <c r="C62" i="1" s="1"/>
  <c r="D62" i="1"/>
  <c r="K61" i="1"/>
  <c r="H61" i="1"/>
  <c r="E61" i="1"/>
  <c r="C61" i="1" s="1"/>
  <c r="D61" i="1"/>
  <c r="K60" i="1"/>
  <c r="H60" i="1"/>
  <c r="H60" i="4" s="1"/>
  <c r="E60" i="1"/>
  <c r="C60" i="1" s="1"/>
  <c r="D60" i="1"/>
  <c r="K59" i="1"/>
  <c r="H59" i="1"/>
  <c r="E59" i="1"/>
  <c r="C59" i="1" s="1"/>
  <c r="D59" i="1"/>
  <c r="K58" i="1"/>
  <c r="H58" i="1"/>
  <c r="E58" i="1"/>
  <c r="C58" i="1" s="1"/>
  <c r="D58" i="1"/>
  <c r="K57" i="1"/>
  <c r="H57" i="1"/>
  <c r="E57" i="1"/>
  <c r="C57" i="1" s="1"/>
  <c r="D57" i="1"/>
  <c r="K56" i="1"/>
  <c r="H56" i="1"/>
  <c r="E56" i="1"/>
  <c r="C56" i="1" s="1"/>
  <c r="D56" i="1"/>
  <c r="K55" i="1"/>
  <c r="H55" i="1"/>
  <c r="E55" i="1"/>
  <c r="C55" i="1" s="1"/>
  <c r="D55" i="1"/>
  <c r="K54" i="1"/>
  <c r="H54" i="1"/>
  <c r="H63" i="8" s="1"/>
  <c r="E54" i="1"/>
  <c r="D54" i="1"/>
  <c r="K53" i="1"/>
  <c r="H53" i="1"/>
  <c r="H61" i="8" s="1"/>
  <c r="E53" i="1"/>
  <c r="D53" i="1"/>
  <c r="K52" i="1"/>
  <c r="H52" i="1"/>
  <c r="H59" i="8" s="1"/>
  <c r="E52" i="1"/>
  <c r="C52" i="1" s="1"/>
  <c r="D52" i="1"/>
  <c r="K51" i="1"/>
  <c r="H51" i="1"/>
  <c r="H57" i="8" s="1"/>
  <c r="E51" i="1"/>
  <c r="D51" i="1"/>
  <c r="K50" i="1"/>
  <c r="H50" i="1"/>
  <c r="H55" i="8" s="1"/>
  <c r="E50" i="1"/>
  <c r="D50" i="1"/>
  <c r="K49" i="1"/>
  <c r="H49" i="1"/>
  <c r="H53" i="8" s="1"/>
  <c r="E49" i="1"/>
  <c r="D49" i="1"/>
  <c r="K48" i="1"/>
  <c r="H48" i="1"/>
  <c r="H51" i="8" s="1"/>
  <c r="E48" i="1"/>
  <c r="C48" i="1" s="1"/>
  <c r="D48" i="1"/>
  <c r="K47" i="1"/>
  <c r="H47" i="1"/>
  <c r="H49" i="8" s="1"/>
  <c r="E47" i="1"/>
  <c r="D47" i="1"/>
  <c r="K46" i="1"/>
  <c r="H46" i="1"/>
  <c r="H47" i="8" s="1"/>
  <c r="E46" i="1"/>
  <c r="D46" i="1"/>
  <c r="K45" i="1"/>
  <c r="H45" i="1"/>
  <c r="H45" i="8" s="1"/>
  <c r="E45" i="1"/>
  <c r="D45" i="1"/>
  <c r="M41" i="1"/>
  <c r="L41" i="1"/>
  <c r="I41" i="1"/>
  <c r="G41" i="1"/>
  <c r="K40" i="1"/>
  <c r="H40" i="1"/>
  <c r="E40" i="1"/>
  <c r="D40" i="1"/>
  <c r="K39" i="1"/>
  <c r="H39" i="1"/>
  <c r="E39" i="1"/>
  <c r="D39" i="1"/>
  <c r="K38" i="1"/>
  <c r="H38" i="1"/>
  <c r="E38" i="1"/>
  <c r="D38" i="1"/>
  <c r="K37" i="1"/>
  <c r="H37" i="1"/>
  <c r="E37" i="1"/>
  <c r="D37" i="1"/>
  <c r="K36" i="1"/>
  <c r="H36" i="1"/>
  <c r="E36" i="1"/>
  <c r="D36" i="1"/>
  <c r="K35" i="1"/>
  <c r="H35" i="1"/>
  <c r="E35" i="1"/>
  <c r="D35" i="1"/>
  <c r="K34" i="1"/>
  <c r="H34" i="1"/>
  <c r="E34" i="1"/>
  <c r="D34" i="1"/>
  <c r="K33" i="1"/>
  <c r="H33" i="1"/>
  <c r="E33" i="1"/>
  <c r="D33" i="1"/>
  <c r="K32" i="1"/>
  <c r="H32" i="1"/>
  <c r="E32" i="1"/>
  <c r="D32" i="1"/>
  <c r="K31" i="1"/>
  <c r="H31" i="1"/>
  <c r="E31" i="1"/>
  <c r="D31" i="1"/>
  <c r="K30" i="1"/>
  <c r="H30" i="1"/>
  <c r="E30" i="1"/>
  <c r="D30" i="1"/>
  <c r="K29" i="1"/>
  <c r="H29" i="1"/>
  <c r="E29" i="1"/>
  <c r="D29" i="1"/>
  <c r="K28" i="1"/>
  <c r="H28" i="1"/>
  <c r="E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C21" i="8"/>
  <c r="E27" i="8" l="1"/>
  <c r="C24" i="9"/>
  <c r="E37" i="9" s="1"/>
  <c r="H24" i="9"/>
  <c r="F37" i="9" s="1"/>
  <c r="H27" i="8"/>
  <c r="J24" i="9"/>
  <c r="J37" i="9" s="1"/>
  <c r="E33" i="8"/>
  <c r="C27" i="9"/>
  <c r="E40" i="9" s="1"/>
  <c r="H27" i="9"/>
  <c r="F40" i="9" s="1"/>
  <c r="H37" i="8"/>
  <c r="J29" i="9"/>
  <c r="J42" i="9" s="1"/>
  <c r="E23" i="8"/>
  <c r="C22" i="9"/>
  <c r="E35" i="9" s="1"/>
  <c r="H22" i="9"/>
  <c r="F35" i="9" s="1"/>
  <c r="H33" i="8"/>
  <c r="J27" i="9"/>
  <c r="J40" i="9" s="1"/>
  <c r="H35" i="8"/>
  <c r="J28" i="9"/>
  <c r="H31" i="8"/>
  <c r="J26" i="9"/>
  <c r="J39" i="9" s="1"/>
  <c r="H21" i="8"/>
  <c r="J21" i="9"/>
  <c r="J34" i="9" s="1"/>
  <c r="C29" i="9"/>
  <c r="E42" i="9" s="1"/>
  <c r="H29" i="9"/>
  <c r="F42" i="9" s="1"/>
  <c r="H23" i="8"/>
  <c r="J22" i="9"/>
  <c r="J35" i="9" s="1"/>
  <c r="C25" i="9"/>
  <c r="E38" i="9" s="1"/>
  <c r="H25" i="9"/>
  <c r="F38" i="9" s="1"/>
  <c r="H29" i="8"/>
  <c r="J25" i="9"/>
  <c r="J38" i="9" s="1"/>
  <c r="E35" i="8"/>
  <c r="C28" i="9"/>
  <c r="E41" i="9" s="1"/>
  <c r="H28" i="9"/>
  <c r="F41" i="9" s="1"/>
  <c r="E39" i="8"/>
  <c r="C30" i="9"/>
  <c r="E43" i="9" s="1"/>
  <c r="H30" i="9"/>
  <c r="F43" i="9" s="1"/>
  <c r="E25" i="8"/>
  <c r="C23" i="9"/>
  <c r="E36" i="9" s="1"/>
  <c r="H23" i="9"/>
  <c r="F36" i="9" s="1"/>
  <c r="H39" i="8"/>
  <c r="J30" i="9"/>
  <c r="H25" i="8"/>
  <c r="J23" i="9"/>
  <c r="J36" i="9" s="1"/>
  <c r="E31" i="8"/>
  <c r="C26" i="9"/>
  <c r="E39" i="9" s="1"/>
  <c r="H26" i="9"/>
  <c r="F39" i="9" s="1"/>
  <c r="E49" i="8"/>
  <c r="C47" i="1"/>
  <c r="E61" i="8"/>
  <c r="C53" i="1"/>
  <c r="E71" i="8"/>
  <c r="C70" i="1"/>
  <c r="E105" i="8"/>
  <c r="C99" i="1"/>
  <c r="E45" i="8"/>
  <c r="C45" i="1"/>
  <c r="E53" i="8"/>
  <c r="C49" i="1"/>
  <c r="E87" i="8"/>
  <c r="C78" i="1"/>
  <c r="C87" i="8" s="1"/>
  <c r="E109" i="8"/>
  <c r="C101" i="1"/>
  <c r="E131" i="8"/>
  <c r="C124" i="1"/>
  <c r="E83" i="8"/>
  <c r="C76" i="1"/>
  <c r="E93" i="8"/>
  <c r="C93" i="1"/>
  <c r="E97" i="8"/>
  <c r="C95" i="1"/>
  <c r="E101" i="8"/>
  <c r="C97" i="1"/>
  <c r="C99" i="4" s="1"/>
  <c r="E57" i="8"/>
  <c r="C51" i="1"/>
  <c r="E79" i="8"/>
  <c r="C74" i="1"/>
  <c r="E47" i="8"/>
  <c r="C46" i="1"/>
  <c r="E55" i="8"/>
  <c r="C50" i="1"/>
  <c r="E63" i="8"/>
  <c r="C54" i="1"/>
  <c r="E73" i="8"/>
  <c r="C71" i="1"/>
  <c r="E81" i="8"/>
  <c r="C75" i="1"/>
  <c r="E99" i="8"/>
  <c r="C96" i="1"/>
  <c r="E107" i="8"/>
  <c r="C100" i="1"/>
  <c r="C107" i="8" s="1"/>
  <c r="E117" i="8"/>
  <c r="C117" i="1"/>
  <c r="E121" i="8"/>
  <c r="C119" i="1"/>
  <c r="E125" i="8"/>
  <c r="C121" i="1"/>
  <c r="E129" i="8"/>
  <c r="C123" i="1"/>
  <c r="E133" i="8"/>
  <c r="C125" i="1"/>
  <c r="C133" i="8" s="1"/>
  <c r="C95" i="8"/>
  <c r="E95" i="8"/>
  <c r="C111" i="8"/>
  <c r="E111" i="8"/>
  <c r="H81" i="8"/>
  <c r="H121" i="8"/>
  <c r="C51" i="8"/>
  <c r="E51" i="8"/>
  <c r="H73" i="8"/>
  <c r="C103" i="8"/>
  <c r="E103" i="8"/>
  <c r="C69" i="8"/>
  <c r="E69" i="8"/>
  <c r="C85" i="8"/>
  <c r="E85" i="8"/>
  <c r="C75" i="8"/>
  <c r="E75" i="8"/>
  <c r="C119" i="8"/>
  <c r="E119" i="8"/>
  <c r="C123" i="8"/>
  <c r="E123" i="8"/>
  <c r="C127" i="8"/>
  <c r="E127" i="8"/>
  <c r="C135" i="8"/>
  <c r="E135" i="8"/>
  <c r="C59" i="8"/>
  <c r="E59" i="8"/>
  <c r="C77" i="8"/>
  <c r="E77" i="8"/>
  <c r="H79" i="8"/>
  <c r="H87" i="8"/>
  <c r="H119" i="8"/>
  <c r="H122" i="4"/>
  <c r="H123" i="8"/>
  <c r="H131" i="8"/>
  <c r="H128" i="4"/>
  <c r="H135" i="8"/>
  <c r="H93" i="8"/>
  <c r="E37" i="8"/>
  <c r="C29" i="8"/>
  <c r="E29" i="8"/>
  <c r="C149" i="4"/>
  <c r="C161" i="4"/>
  <c r="C85" i="4"/>
  <c r="C143" i="4"/>
  <c r="C151" i="4"/>
  <c r="C157" i="4"/>
  <c r="C62" i="4"/>
  <c r="E106" i="4"/>
  <c r="C106" i="4"/>
  <c r="C114" i="4"/>
  <c r="C129" i="4"/>
  <c r="C144" i="4"/>
  <c r="C146" i="4"/>
  <c r="C148" i="4"/>
  <c r="C150" i="4"/>
  <c r="C152" i="4"/>
  <c r="E154" i="4"/>
  <c r="C156" i="4"/>
  <c r="C158" i="4"/>
  <c r="C160" i="4"/>
  <c r="C162" i="4"/>
  <c r="C155" i="4"/>
  <c r="C31" i="4"/>
  <c r="C39" i="4"/>
  <c r="E133" i="4"/>
  <c r="C133" i="4"/>
  <c r="C145" i="4"/>
  <c r="C153" i="4"/>
  <c r="C58" i="4"/>
  <c r="C64" i="4"/>
  <c r="C110" i="4"/>
  <c r="C137" i="4"/>
  <c r="C32" i="4"/>
  <c r="C34" i="4"/>
  <c r="C36" i="4"/>
  <c r="C38" i="4"/>
  <c r="C40" i="4"/>
  <c r="C55" i="4"/>
  <c r="C57" i="4"/>
  <c r="C59" i="4"/>
  <c r="C61" i="4"/>
  <c r="C82" i="4"/>
  <c r="E84" i="4"/>
  <c r="C84" i="4"/>
  <c r="C86" i="4"/>
  <c r="C88" i="4"/>
  <c r="E99" i="4"/>
  <c r="C105" i="4"/>
  <c r="C107" i="4"/>
  <c r="E109" i="4"/>
  <c r="C109" i="4"/>
  <c r="C111" i="4"/>
  <c r="C113" i="4"/>
  <c r="C130" i="4"/>
  <c r="C134" i="4"/>
  <c r="C136" i="4"/>
  <c r="C138" i="4"/>
  <c r="C147" i="4"/>
  <c r="C159" i="4"/>
  <c r="C35" i="4"/>
  <c r="C89" i="4"/>
  <c r="C135" i="4"/>
  <c r="I164" i="1"/>
  <c r="J21" i="1" s="1"/>
  <c r="D155" i="4"/>
  <c r="H150" i="4"/>
  <c r="G164" i="1"/>
  <c r="C154" i="4"/>
  <c r="K164" i="1"/>
  <c r="R164" i="1" s="1"/>
  <c r="M164" i="1"/>
  <c r="M167" i="1" s="1"/>
  <c r="I163" i="4"/>
  <c r="E156" i="4"/>
  <c r="D147" i="4"/>
  <c r="E148" i="4"/>
  <c r="H158" i="4"/>
  <c r="D146" i="4"/>
  <c r="E147" i="4"/>
  <c r="H149" i="4"/>
  <c r="E155" i="4"/>
  <c r="H157" i="4"/>
  <c r="D162" i="4"/>
  <c r="E146" i="4"/>
  <c r="H156" i="4"/>
  <c r="D161" i="4"/>
  <c r="E162" i="4"/>
  <c r="E145" i="4"/>
  <c r="E153" i="4"/>
  <c r="D160" i="4"/>
  <c r="E161" i="4"/>
  <c r="E144" i="4"/>
  <c r="E152" i="4"/>
  <c r="D159" i="4"/>
  <c r="E160" i="4"/>
  <c r="H162" i="4"/>
  <c r="E143" i="4"/>
  <c r="E151" i="4"/>
  <c r="D158" i="4"/>
  <c r="E159" i="4"/>
  <c r="H161" i="4"/>
  <c r="E150" i="4"/>
  <c r="D157" i="4"/>
  <c r="E158" i="4"/>
  <c r="H160" i="4"/>
  <c r="E149" i="4"/>
  <c r="D156" i="4"/>
  <c r="E157" i="4"/>
  <c r="H159" i="4"/>
  <c r="G163" i="4"/>
  <c r="G41" i="4"/>
  <c r="I91" i="4"/>
  <c r="G115" i="4"/>
  <c r="I41" i="4"/>
  <c r="G139" i="4"/>
  <c r="G65" i="4"/>
  <c r="G91" i="4"/>
  <c r="D21" i="4"/>
  <c r="H30" i="4"/>
  <c r="H38" i="4"/>
  <c r="E52" i="4"/>
  <c r="E56" i="4"/>
  <c r="E60" i="4"/>
  <c r="D74" i="4"/>
  <c r="E87" i="4"/>
  <c r="C87" i="4"/>
  <c r="H119" i="4"/>
  <c r="E122" i="4"/>
  <c r="H135" i="4"/>
  <c r="D51" i="4"/>
  <c r="D55" i="4"/>
  <c r="H63" i="4"/>
  <c r="E108" i="4"/>
  <c r="C108" i="4"/>
  <c r="H21" i="4"/>
  <c r="H29" i="4"/>
  <c r="D32" i="4"/>
  <c r="D40" i="4"/>
  <c r="E51" i="4"/>
  <c r="H74" i="4"/>
  <c r="E77" i="4"/>
  <c r="H90" i="4"/>
  <c r="D100" i="4"/>
  <c r="H131" i="4"/>
  <c r="E24" i="4"/>
  <c r="E28" i="4"/>
  <c r="E32" i="4"/>
  <c r="E36" i="4"/>
  <c r="E40" i="4"/>
  <c r="D46" i="4"/>
  <c r="H47" i="4"/>
  <c r="D50" i="4"/>
  <c r="H51" i="4"/>
  <c r="D54" i="4"/>
  <c r="H55" i="4"/>
  <c r="D58" i="4"/>
  <c r="H59" i="4"/>
  <c r="E62" i="4"/>
  <c r="D73" i="4"/>
  <c r="H83" i="4"/>
  <c r="E86" i="4"/>
  <c r="D89" i="4"/>
  <c r="D95" i="4"/>
  <c r="H98" i="4"/>
  <c r="E100" i="4"/>
  <c r="C100" i="4"/>
  <c r="D112" i="4"/>
  <c r="E127" i="4"/>
  <c r="D130" i="4"/>
  <c r="D25" i="4"/>
  <c r="H34" i="4"/>
  <c r="E33" i="4"/>
  <c r="E37" i="4"/>
  <c r="H52" i="4"/>
  <c r="H56" i="4"/>
  <c r="E74" i="4"/>
  <c r="D103" i="4"/>
  <c r="D134" i="4"/>
  <c r="D24" i="4"/>
  <c r="H33" i="4"/>
  <c r="H37" i="4"/>
  <c r="E47" i="4"/>
  <c r="E55" i="4"/>
  <c r="E59" i="4"/>
  <c r="E83" i="4"/>
  <c r="C83" i="4"/>
  <c r="E124" i="4"/>
  <c r="D23" i="4"/>
  <c r="H24" i="4"/>
  <c r="D27" i="4"/>
  <c r="H28" i="4"/>
  <c r="D31" i="4"/>
  <c r="H32" i="4"/>
  <c r="D35" i="4"/>
  <c r="H36" i="4"/>
  <c r="D39" i="4"/>
  <c r="H40" i="4"/>
  <c r="E46" i="4"/>
  <c r="E50" i="4"/>
  <c r="E54" i="4"/>
  <c r="E58" i="4"/>
  <c r="H62" i="4"/>
  <c r="E73" i="4"/>
  <c r="E79" i="4"/>
  <c r="C79" i="4"/>
  <c r="D82" i="4"/>
  <c r="H86" i="4"/>
  <c r="E89" i="4"/>
  <c r="D97" i="4"/>
  <c r="H100" i="4"/>
  <c r="H105" i="4"/>
  <c r="D107" i="4"/>
  <c r="H110" i="4"/>
  <c r="E112" i="4"/>
  <c r="C112" i="4"/>
  <c r="E120" i="4"/>
  <c r="C120" i="4"/>
  <c r="H127" i="4"/>
  <c r="E130" i="4"/>
  <c r="H22" i="4"/>
  <c r="D29" i="4"/>
  <c r="E48" i="4"/>
  <c r="E71" i="4"/>
  <c r="H78" i="4"/>
  <c r="D113" i="4"/>
  <c r="E21" i="4"/>
  <c r="E29" i="4"/>
  <c r="D47" i="4"/>
  <c r="H71" i="4"/>
  <c r="E90" i="4"/>
  <c r="H101" i="4"/>
  <c r="H106" i="4"/>
  <c r="D62" i="4"/>
  <c r="D105" i="4"/>
  <c r="E23" i="4"/>
  <c r="E27" i="4"/>
  <c r="E31" i="4"/>
  <c r="E35" i="4"/>
  <c r="E39" i="4"/>
  <c r="D45" i="4"/>
  <c r="H46" i="4"/>
  <c r="D49" i="4"/>
  <c r="H50" i="4"/>
  <c r="D53" i="4"/>
  <c r="H54" i="4"/>
  <c r="D57" i="4"/>
  <c r="H58" i="4"/>
  <c r="D61" i="4"/>
  <c r="D64" i="4"/>
  <c r="D75" i="4"/>
  <c r="H79" i="4"/>
  <c r="E82" i="4"/>
  <c r="D85" i="4"/>
  <c r="D104" i="4"/>
  <c r="D109" i="4"/>
  <c r="H112" i="4"/>
  <c r="E123" i="4"/>
  <c r="D126" i="4"/>
  <c r="H26" i="4"/>
  <c r="D33" i="4"/>
  <c r="D37" i="4"/>
  <c r="E63" i="4"/>
  <c r="C63" i="4"/>
  <c r="E81" i="4"/>
  <c r="E96" i="4"/>
  <c r="C96" i="4"/>
  <c r="D108" i="4"/>
  <c r="E128" i="4"/>
  <c r="C128" i="4"/>
  <c r="H48" i="4"/>
  <c r="H25" i="4"/>
  <c r="D36" i="4"/>
  <c r="H108" i="4"/>
  <c r="E134" i="4"/>
  <c r="D22" i="4"/>
  <c r="H23" i="4"/>
  <c r="D26" i="4"/>
  <c r="H27" i="4"/>
  <c r="D30" i="4"/>
  <c r="H31" i="4"/>
  <c r="D34" i="4"/>
  <c r="H35" i="4"/>
  <c r="D38" i="4"/>
  <c r="H39" i="4"/>
  <c r="E45" i="4"/>
  <c r="C48" i="4"/>
  <c r="E49" i="4"/>
  <c r="E53" i="4"/>
  <c r="C56" i="4"/>
  <c r="E57" i="4"/>
  <c r="C60" i="4"/>
  <c r="E61" i="4"/>
  <c r="E75" i="4"/>
  <c r="D78" i="4"/>
  <c r="C81" i="4"/>
  <c r="H82" i="4"/>
  <c r="E85" i="4"/>
  <c r="H97" i="4"/>
  <c r="D99" i="4"/>
  <c r="H102" i="4"/>
  <c r="E104" i="4"/>
  <c r="H123" i="4"/>
  <c r="E126" i="4"/>
  <c r="E132" i="4"/>
  <c r="C132" i="4"/>
  <c r="E25" i="4"/>
  <c r="D77" i="4"/>
  <c r="H96" i="4"/>
  <c r="E131" i="4"/>
  <c r="D28" i="4"/>
  <c r="H113" i="4"/>
  <c r="C21" i="4"/>
  <c r="E22" i="4"/>
  <c r="E26" i="4"/>
  <c r="E30" i="4"/>
  <c r="C33" i="4"/>
  <c r="E34" i="4"/>
  <c r="C37" i="4"/>
  <c r="E38" i="4"/>
  <c r="H45" i="4"/>
  <c r="D48" i="4"/>
  <c r="H49" i="4"/>
  <c r="D52" i="4"/>
  <c r="H53" i="4"/>
  <c r="D56" i="4"/>
  <c r="H57" i="4"/>
  <c r="D60" i="4"/>
  <c r="H61" i="4"/>
  <c r="D71" i="4"/>
  <c r="H72" i="4"/>
  <c r="C74" i="4"/>
  <c r="H75" i="4"/>
  <c r="E78" i="4"/>
  <c r="D81" i="4"/>
  <c r="C90" i="4"/>
  <c r="D96" i="4"/>
  <c r="D101" i="4"/>
  <c r="H104" i="4"/>
  <c r="H109" i="4"/>
  <c r="D111" i="4"/>
  <c r="H114" i="4"/>
  <c r="E119" i="4"/>
  <c r="D122" i="4"/>
  <c r="C131" i="4"/>
  <c r="E64" i="4"/>
  <c r="E95" i="4"/>
  <c r="E103" i="4"/>
  <c r="E107" i="4"/>
  <c r="E111" i="4"/>
  <c r="D121" i="4"/>
  <c r="D125" i="4"/>
  <c r="D129" i="4"/>
  <c r="D137" i="4"/>
  <c r="D79" i="4"/>
  <c r="D83" i="4"/>
  <c r="D87" i="4"/>
  <c r="D98" i="4"/>
  <c r="H99" i="4"/>
  <c r="D102" i="4"/>
  <c r="H103" i="4"/>
  <c r="D106" i="4"/>
  <c r="H111" i="4"/>
  <c r="D114" i="4"/>
  <c r="E121" i="4"/>
  <c r="E125" i="4"/>
  <c r="E129" i="4"/>
  <c r="E137" i="4"/>
  <c r="I65" i="4"/>
  <c r="H76" i="4"/>
  <c r="H80" i="4"/>
  <c r="H84" i="4"/>
  <c r="H88" i="4"/>
  <c r="E98" i="4"/>
  <c r="E102" i="4"/>
  <c r="E110" i="4"/>
  <c r="E114" i="4"/>
  <c r="D124" i="4"/>
  <c r="H125" i="4"/>
  <c r="D128" i="4"/>
  <c r="D132" i="4"/>
  <c r="H133" i="4"/>
  <c r="D136" i="4"/>
  <c r="D86" i="4"/>
  <c r="D90" i="4"/>
  <c r="E136" i="4"/>
  <c r="H87" i="4"/>
  <c r="I115" i="4"/>
  <c r="H121" i="4"/>
  <c r="H129" i="4"/>
  <c r="H137" i="4"/>
  <c r="E97" i="4"/>
  <c r="E101" i="4"/>
  <c r="E105" i="4"/>
  <c r="E113" i="4"/>
  <c r="H124" i="4"/>
  <c r="D127" i="4"/>
  <c r="D131" i="4"/>
  <c r="H132" i="4"/>
  <c r="D135" i="4"/>
  <c r="D63" i="4"/>
  <c r="D120" i="4"/>
  <c r="E135" i="4"/>
  <c r="H64" i="4"/>
  <c r="D138" i="4"/>
  <c r="E72" i="4"/>
  <c r="D76" i="4"/>
  <c r="D80" i="4"/>
  <c r="H95" i="4"/>
  <c r="D119" i="4"/>
  <c r="H126" i="4"/>
  <c r="H134" i="4"/>
  <c r="E138" i="4"/>
  <c r="D59" i="4"/>
  <c r="H73" i="4"/>
  <c r="E76" i="4"/>
  <c r="H77" i="4"/>
  <c r="E80" i="4"/>
  <c r="H81" i="4"/>
  <c r="E88" i="4"/>
  <c r="H89" i="4"/>
  <c r="H120" i="4"/>
  <c r="H136" i="4"/>
  <c r="I139" i="4"/>
  <c r="E21" i="9" l="1"/>
  <c r="G34" i="9" s="1"/>
  <c r="G44" i="9" s="1"/>
  <c r="J21" i="11"/>
  <c r="J41" i="11" s="1"/>
  <c r="J21" i="10"/>
  <c r="J41" i="10" s="1"/>
  <c r="C101" i="8"/>
  <c r="S164" i="1"/>
  <c r="C37" i="8"/>
  <c r="J43" i="9"/>
  <c r="J41" i="9"/>
  <c r="C104" i="4"/>
  <c r="C124" i="4"/>
  <c r="C71" i="4"/>
  <c r="C75" i="4"/>
  <c r="C52" i="4"/>
  <c r="C127" i="4"/>
  <c r="C80" i="4"/>
  <c r="C53" i="4"/>
  <c r="C61" i="8"/>
  <c r="C119" i="4"/>
  <c r="C117" i="8"/>
  <c r="C29" i="4"/>
  <c r="C72" i="4"/>
  <c r="C71" i="8"/>
  <c r="C51" i="4"/>
  <c r="C57" i="8"/>
  <c r="C76" i="4"/>
  <c r="C79" i="8"/>
  <c r="C101" i="4"/>
  <c r="C105" i="8"/>
  <c r="C102" i="4"/>
  <c r="C122" i="4"/>
  <c r="C125" i="4"/>
  <c r="C129" i="8"/>
  <c r="C49" i="4"/>
  <c r="C53" i="8"/>
  <c r="C30" i="4"/>
  <c r="C39" i="8"/>
  <c r="C73" i="4"/>
  <c r="C73" i="8"/>
  <c r="C77" i="4"/>
  <c r="C81" i="8"/>
  <c r="C126" i="4"/>
  <c r="C131" i="8"/>
  <c r="C121" i="4"/>
  <c r="C121" i="8"/>
  <c r="C54" i="4"/>
  <c r="C63" i="8"/>
  <c r="C98" i="4"/>
  <c r="C99" i="8"/>
  <c r="C45" i="4"/>
  <c r="C45" i="8"/>
  <c r="C97" i="4"/>
  <c r="C97" i="8"/>
  <c r="C123" i="4"/>
  <c r="C125" i="8"/>
  <c r="C103" i="4"/>
  <c r="C109" i="8"/>
  <c r="C47" i="4"/>
  <c r="C49" i="8"/>
  <c r="C46" i="4"/>
  <c r="C47" i="8"/>
  <c r="C78" i="4"/>
  <c r="C83" i="8"/>
  <c r="C50" i="4"/>
  <c r="C55" i="8"/>
  <c r="C95" i="4"/>
  <c r="C93" i="8"/>
  <c r="C27" i="4"/>
  <c r="C33" i="8"/>
  <c r="C28" i="4"/>
  <c r="C35" i="8"/>
  <c r="C23" i="4"/>
  <c r="C25" i="8"/>
  <c r="C26" i="4"/>
  <c r="C31" i="8"/>
  <c r="C22" i="4"/>
  <c r="C23" i="8"/>
  <c r="C25" i="4"/>
  <c r="C24" i="4"/>
  <c r="C27" i="8"/>
  <c r="G166" i="4"/>
  <c r="I166" i="4"/>
  <c r="E31" i="9" l="1"/>
  <c r="C142" i="8" a="1"/>
  <c r="C142" i="8" s="1"/>
  <c r="K142" i="8" s="1"/>
  <c r="C154" i="8" a="1"/>
  <c r="C154" i="8" s="1"/>
  <c r="K154" i="8" s="1"/>
  <c r="C148" i="8" a="1"/>
  <c r="C148" i="8" s="1"/>
  <c r="K148" i="8" s="1"/>
  <c r="C152" i="8" a="1"/>
  <c r="C152" i="8" s="1"/>
  <c r="K152" i="8" s="1"/>
  <c r="C146" i="8" a="1"/>
  <c r="C146" i="8" s="1"/>
  <c r="K146" i="8" s="1"/>
  <c r="C160" i="8" a="1"/>
  <c r="C160" i="8" s="1"/>
  <c r="K160" i="8" s="1"/>
  <c r="C144" i="8" a="1"/>
  <c r="C144" i="8" s="1"/>
  <c r="K144" i="8" s="1"/>
  <c r="C158" i="8" a="1"/>
  <c r="C158" i="8" s="1"/>
  <c r="K158" i="8" s="1"/>
  <c r="C150" i="8" a="1"/>
  <c r="C150" i="8" s="1"/>
  <c r="K150" i="8" s="1"/>
  <c r="C156" i="8" a="1"/>
  <c r="C156" i="8" s="1"/>
  <c r="K156" i="8" s="1"/>
  <c r="J113" i="1"/>
  <c r="J65" i="1"/>
  <c r="J89" i="1"/>
  <c r="J161" i="1"/>
  <c r="J137" i="1"/>
  <c r="F159" i="8" l="1" a="1"/>
  <c r="F159" i="8" s="1"/>
  <c r="H159" i="8" s="1"/>
  <c r="E158" i="8"/>
  <c r="D158" i="8"/>
  <c r="D159" i="8" a="1"/>
  <c r="D159" i="8" s="1"/>
  <c r="J158" i="8"/>
  <c r="I158" i="8"/>
  <c r="G158" i="8"/>
  <c r="F158" i="8"/>
  <c r="H158" i="8" s="1"/>
  <c r="F151" i="8" a="1"/>
  <c r="F151" i="8" s="1"/>
  <c r="H151" i="8" s="1"/>
  <c r="E150" i="8"/>
  <c r="D150" i="8"/>
  <c r="D151" i="8" a="1"/>
  <c r="D151" i="8" s="1"/>
  <c r="J150" i="8"/>
  <c r="I150" i="8"/>
  <c r="D142" i="8" s="1"/>
  <c r="G150" i="8"/>
  <c r="F150" i="8"/>
  <c r="H150" i="8" s="1"/>
  <c r="G144" i="8"/>
  <c r="F144" i="8"/>
  <c r="H144" i="8" s="1"/>
  <c r="D144" i="8"/>
  <c r="F145" i="8" a="1"/>
  <c r="F145" i="8" s="1"/>
  <c r="H145" i="8" s="1"/>
  <c r="E144" i="8"/>
  <c r="D145" i="8" a="1"/>
  <c r="D145" i="8" s="1"/>
  <c r="I144" i="8"/>
  <c r="J144" i="8"/>
  <c r="G160" i="8"/>
  <c r="F160" i="8"/>
  <c r="H160" i="8" s="1"/>
  <c r="F161" i="8" a="1"/>
  <c r="F161" i="8" s="1"/>
  <c r="H161" i="8" s="1"/>
  <c r="E160" i="8"/>
  <c r="D160" i="8"/>
  <c r="D161" i="8" a="1"/>
  <c r="D161" i="8" s="1"/>
  <c r="J160" i="8"/>
  <c r="I160" i="8"/>
  <c r="I146" i="8"/>
  <c r="F146" i="8"/>
  <c r="H146" i="8" s="1"/>
  <c r="G146" i="8"/>
  <c r="F147" i="8" a="1"/>
  <c r="F147" i="8" s="1"/>
  <c r="H147" i="8" s="1"/>
  <c r="E146" i="8"/>
  <c r="D147" i="8" a="1"/>
  <c r="D147" i="8" s="1"/>
  <c r="J146" i="8"/>
  <c r="D146" i="8"/>
  <c r="G152" i="8"/>
  <c r="F152" i="8"/>
  <c r="H152" i="8" s="1"/>
  <c r="F153" i="8" a="1"/>
  <c r="F153" i="8" s="1"/>
  <c r="H153" i="8" s="1"/>
  <c r="E152" i="8"/>
  <c r="D152" i="8"/>
  <c r="D153" i="8" a="1"/>
  <c r="D153" i="8" s="1"/>
  <c r="J152" i="8"/>
  <c r="I152" i="8"/>
  <c r="D149" i="8" a="1"/>
  <c r="D149" i="8" s="1"/>
  <c r="J148" i="8"/>
  <c r="F148" i="8"/>
  <c r="H148" i="8" s="1"/>
  <c r="I148" i="8"/>
  <c r="G148" i="8"/>
  <c r="F149" i="8" a="1"/>
  <c r="F149" i="8" s="1"/>
  <c r="H149" i="8" s="1"/>
  <c r="E148" i="8"/>
  <c r="D148" i="8"/>
  <c r="D157" i="8" a="1"/>
  <c r="D157" i="8" s="1"/>
  <c r="J156" i="8"/>
  <c r="I156" i="8"/>
  <c r="G156" i="8"/>
  <c r="F156" i="8"/>
  <c r="H156" i="8" s="1"/>
  <c r="F157" i="8" a="1"/>
  <c r="F157" i="8" s="1"/>
  <c r="H157" i="8" s="1"/>
  <c r="E156" i="8"/>
  <c r="D156" i="8"/>
  <c r="I154" i="8"/>
  <c r="G154" i="8"/>
  <c r="F154" i="8"/>
  <c r="H154" i="8" s="1"/>
  <c r="F155" i="8" a="1"/>
  <c r="F155" i="8" s="1"/>
  <c r="H155" i="8" s="1"/>
  <c r="E154" i="8"/>
  <c r="D154" i="8"/>
  <c r="D155" i="8" a="1"/>
  <c r="D155" i="8" s="1"/>
  <c r="J154" i="8"/>
  <c r="J163" i="4"/>
  <c r="J139" i="4"/>
  <c r="J65" i="4"/>
  <c r="J91" i="4"/>
  <c r="J115" i="4"/>
  <c r="I142" i="8" l="1"/>
  <c r="I162" i="8" s="1"/>
  <c r="F142" i="8"/>
  <c r="H142" i="8" s="1"/>
  <c r="D143" i="8" a="1"/>
  <c r="D143" i="8" s="1"/>
  <c r="E142" i="8"/>
  <c r="G142" i="8"/>
  <c r="G162" i="8" s="1"/>
  <c r="F143" i="8" a="1"/>
  <c r="F143" i="8" s="1"/>
  <c r="H143" i="8" s="1"/>
  <c r="J142" i="8"/>
  <c r="J162" i="8" s="1"/>
  <c r="K162" i="8"/>
  <c r="K164" i="8" s="1"/>
  <c r="J21" i="4"/>
  <c r="J41" i="4" s="1"/>
  <c r="J166" i="4" s="1"/>
  <c r="J21" i="8"/>
  <c r="J41" i="8" s="1"/>
  <c r="J4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<sst xmlns="http://schemas.openxmlformats.org/spreadsheetml/2006/main" count="953" uniqueCount="174">
  <si>
    <t>PT.  VERONIQUE  INDONESIA</t>
  </si>
  <si>
    <t>Jl. Raya Purwonegoro Rt. 007/003,  Purwonegoro, Banjarnegara,  Jawa Tengah,   Zip Code : 53472, INDONESIA</t>
  </si>
  <si>
    <t>INVOICE</t>
  </si>
  <si>
    <t>Seller:</t>
  </si>
  <si>
    <t>PT. VERONIQUE  INDONESIA</t>
  </si>
  <si>
    <t>Invoice No. &amp; Date :</t>
  </si>
  <si>
    <t xml:space="preserve">Jl. Raya Purwonegoro Rt. 007/003  Purwonegoro Banjarnegara  </t>
  </si>
  <si>
    <t>L/C No. &amp; Date) :</t>
  </si>
  <si>
    <t>Jawa Tengah  Zip Code : 53472   INDONESIA</t>
  </si>
  <si>
    <t>NPWP : 0315202689-529000</t>
  </si>
  <si>
    <t>Tel : 62-286-598-8594   Fax : 62-286-598-8650</t>
  </si>
  <si>
    <t>Consignee:</t>
  </si>
  <si>
    <t xml:space="preserve">"GSP eligible Article" </t>
  </si>
  <si>
    <t>Other References:</t>
  </si>
  <si>
    <t>Country of Origin :</t>
  </si>
  <si>
    <t>INDONESIA</t>
  </si>
  <si>
    <t xml:space="preserve">B/L No. : </t>
  </si>
  <si>
    <t>Departure Date:</t>
  </si>
  <si>
    <t>COUNTRY OF ORIGIN: INDONESIA</t>
  </si>
  <si>
    <t xml:space="preserve">A/C No. : </t>
  </si>
  <si>
    <t xml:space="preserve">Vessel/Flight  :  </t>
  </si>
  <si>
    <t>From  :  INDONESIA</t>
  </si>
  <si>
    <t>C/T No. :</t>
  </si>
  <si>
    <t>To  :  USA</t>
  </si>
  <si>
    <t>Terms of  Payment:</t>
  </si>
  <si>
    <t>30 Day's  Net</t>
  </si>
  <si>
    <t>BOX 1 = GOLD JEWELRY</t>
  </si>
  <si>
    <t>No</t>
  </si>
  <si>
    <t>ID Code</t>
  </si>
  <si>
    <t>USA harmonized code</t>
  </si>
  <si>
    <t>Item</t>
  </si>
  <si>
    <t>ID</t>
  </si>
  <si>
    <r>
      <rPr>
        <sz val="12"/>
        <rFont val="Times New Roman"/>
        <family val="1"/>
      </rPr>
      <t>Qty/</t>
    </r>
    <r>
      <rPr>
        <sz val="10"/>
        <rFont val="Times New Roman"/>
        <family val="1"/>
      </rPr>
      <t>Pcs,Pair</t>
    </r>
  </si>
  <si>
    <t>N.Weight</t>
  </si>
  <si>
    <t>G.Weight</t>
  </si>
  <si>
    <r>
      <rPr>
        <sz val="12"/>
        <rFont val="Times New Roman"/>
        <family val="1"/>
      </rPr>
      <t xml:space="preserve">Unit Value
</t>
    </r>
    <r>
      <rPr>
        <sz val="9"/>
        <rFont val="Times New Roman"/>
        <family val="1"/>
      </rPr>
      <t>(material &amp; manufacturing cost)</t>
    </r>
  </si>
  <si>
    <r>
      <rPr>
        <sz val="12"/>
        <rFont val="Times New Roman"/>
        <family val="1"/>
      </rPr>
      <t xml:space="preserve">Total Value
</t>
    </r>
    <r>
      <rPr>
        <sz val="9"/>
        <rFont val="Times New Roman"/>
        <family val="1"/>
      </rPr>
      <t>(material &amp; manufacturing cost)</t>
    </r>
  </si>
  <si>
    <r>
      <rPr>
        <sz val="12"/>
        <rFont val="Times New Roman"/>
        <family val="1"/>
      </rPr>
      <t xml:space="preserve">Manufacturing Cost
</t>
    </r>
    <r>
      <rPr>
        <sz val="9"/>
        <color rgb="FF0000FF"/>
        <rFont val="Times New Roman"/>
        <family val="1"/>
      </rPr>
      <t>(nilai maklon)</t>
    </r>
  </si>
  <si>
    <t>TOTAL</t>
  </si>
  <si>
    <t>BOX 2 = GOLD JEWELRY</t>
  </si>
  <si>
    <r>
      <rPr>
        <sz val="12"/>
        <rFont val="Times New Roman"/>
        <family val="1"/>
      </rPr>
      <t xml:space="preserve">Total Value
</t>
    </r>
    <r>
      <rPr>
        <sz val="8"/>
        <rFont val="Times New Roman"/>
        <family val="1"/>
      </rPr>
      <t>(material &amp; manufacturing cost)</t>
    </r>
  </si>
  <si>
    <t>BOX 3 =  GOLD JEWELRY</t>
  </si>
  <si>
    <t>BOX 4 =  GOLD JEWELRY</t>
  </si>
  <si>
    <t>BOX 5 =  GOLD JEWELRY</t>
  </si>
  <si>
    <t>Qty.</t>
  </si>
  <si>
    <r>
      <rPr>
        <b/>
        <sz val="12"/>
        <rFont val="Times New Roman"/>
        <family val="1"/>
      </rPr>
      <t xml:space="preserve">Total Value
</t>
    </r>
    <r>
      <rPr>
        <sz val="12"/>
        <rFont val="Times New Roman"/>
        <family val="1"/>
      </rPr>
      <t>(material &amp; manufacturing cost)</t>
    </r>
  </si>
  <si>
    <r>
      <rPr>
        <b/>
        <sz val="12"/>
        <rFont val="Times New Roman"/>
        <family val="1"/>
      </rPr>
      <t xml:space="preserve">Total Price 
</t>
    </r>
    <r>
      <rPr>
        <sz val="9"/>
        <rFont val="Times New Roman"/>
        <family val="1"/>
      </rPr>
      <t>(manufacturing cost)</t>
    </r>
  </si>
  <si>
    <t>GRAND TOTAL</t>
  </si>
  <si>
    <t>Grand Total</t>
  </si>
  <si>
    <t>SIGNED BY</t>
  </si>
  <si>
    <t>PRESIDENT     J.E. PARK</t>
  </si>
  <si>
    <t>PACKING LIST</t>
  </si>
  <si>
    <t>Jumlah Carton</t>
  </si>
  <si>
    <t>Total Carton</t>
  </si>
  <si>
    <t>NAMA</t>
  </si>
  <si>
    <t>UNIT</t>
  </si>
  <si>
    <t>HS CODE</t>
  </si>
  <si>
    <t>10KB</t>
  </si>
  <si>
    <t>10K Gold Bracelet</t>
  </si>
  <si>
    <t>Pcs</t>
  </si>
  <si>
    <t>10KE</t>
  </si>
  <si>
    <t>10K Gold Earring</t>
  </si>
  <si>
    <t>Pairs</t>
  </si>
  <si>
    <t>10KN</t>
  </si>
  <si>
    <t>10K Gold Necklace</t>
  </si>
  <si>
    <t>10KN KING</t>
  </si>
  <si>
    <t>7113.19.2100</t>
  </si>
  <si>
    <t>10KP</t>
  </si>
  <si>
    <t>10K Gold Pendant</t>
  </si>
  <si>
    <t>10KR</t>
  </si>
  <si>
    <t>10K Gold Ring</t>
  </si>
  <si>
    <t>14KB</t>
  </si>
  <si>
    <t>14K Gold Bracelet</t>
  </si>
  <si>
    <t>14KE</t>
  </si>
  <si>
    <t>14K Gold Earring</t>
  </si>
  <si>
    <t>14KN</t>
  </si>
  <si>
    <t>14K Gold Necklace</t>
  </si>
  <si>
    <t>14KN KING</t>
  </si>
  <si>
    <t>14KP</t>
  </si>
  <si>
    <t>14K Gold Pendant</t>
  </si>
  <si>
    <t>14KR</t>
  </si>
  <si>
    <t>14K Gold Ring</t>
  </si>
  <si>
    <t>18KB</t>
  </si>
  <si>
    <t>18K Gold Bracelet</t>
  </si>
  <si>
    <t>18KE</t>
  </si>
  <si>
    <t>18K Gold Earring</t>
  </si>
  <si>
    <t>18KN</t>
  </si>
  <si>
    <t>18K Gold Necklace</t>
  </si>
  <si>
    <t>18KN KING</t>
  </si>
  <si>
    <t>18KP</t>
  </si>
  <si>
    <t>18K Gold Pendant</t>
  </si>
  <si>
    <t>18KR</t>
  </si>
  <si>
    <t>18K Gold Ring</t>
  </si>
  <si>
    <t>22KB</t>
  </si>
  <si>
    <t>22K Gold Bracelet</t>
  </si>
  <si>
    <t>22KE</t>
  </si>
  <si>
    <t>22K Gold Earring</t>
  </si>
  <si>
    <t>22KN</t>
  </si>
  <si>
    <t>22K Gold Necklace</t>
  </si>
  <si>
    <t>22KN KING</t>
  </si>
  <si>
    <t>22KP</t>
  </si>
  <si>
    <t>22K Gold Pendant</t>
  </si>
  <si>
    <t>22KR</t>
  </si>
  <si>
    <t>22K Gold Ring</t>
  </si>
  <si>
    <t>9KB</t>
  </si>
  <si>
    <t>9K Gold Bracelet</t>
  </si>
  <si>
    <t>9KE</t>
  </si>
  <si>
    <t>9K Gold Earring</t>
  </si>
  <si>
    <t>9KN</t>
  </si>
  <si>
    <t>9K Gold Necklace</t>
  </si>
  <si>
    <t>9KN KING</t>
  </si>
  <si>
    <t>9KP</t>
  </si>
  <si>
    <t>9K Gold Pendant</t>
  </si>
  <si>
    <t>9KR</t>
  </si>
  <si>
    <t>9K Gold Ring</t>
  </si>
  <si>
    <t>BOX 6 =  GOLD JEWELRY</t>
  </si>
  <si>
    <t>7113.19.5091</t>
  </si>
  <si>
    <t>7113.19.2900</t>
  </si>
  <si>
    <t>NEW MERCHANDISE</t>
  </si>
  <si>
    <t>9903.03.01</t>
  </si>
  <si>
    <t>Manufacturing + Dia + Gold for US</t>
  </si>
  <si>
    <t>14KB1</t>
  </si>
  <si>
    <t>14KR1</t>
  </si>
  <si>
    <t>14KE1</t>
  </si>
  <si>
    <t>14KP1</t>
  </si>
  <si>
    <t>14KN1</t>
  </si>
  <si>
    <t>18KB1</t>
  </si>
  <si>
    <t>18KR1</t>
  </si>
  <si>
    <t>18KE1</t>
  </si>
  <si>
    <t>18KP1</t>
  </si>
  <si>
    <t>18KN1</t>
  </si>
  <si>
    <t>Manufacturer ID code</t>
  </si>
  <si>
    <t>USA HTS code</t>
  </si>
  <si>
    <t>Item description</t>
  </si>
  <si>
    <t>QTY 
(Pcs, pairs)</t>
  </si>
  <si>
    <t>Unit value</t>
  </si>
  <si>
    <t>Total value</t>
  </si>
  <si>
    <t>-</t>
  </si>
  <si>
    <t>BOX 3 = GOLD JEWELRY</t>
  </si>
  <si>
    <t>BOX 4 = GOLD JEWELRY</t>
  </si>
  <si>
    <t>BOX 5 = GOLD JEWELRY</t>
  </si>
  <si>
    <t>Document Fee</t>
  </si>
  <si>
    <t>BILL TO :</t>
  </si>
  <si>
    <t>CUSTOMS INVOICE</t>
  </si>
  <si>
    <t>Jawa Tengah  Zip Code : 53472, INDONESIA</t>
  </si>
  <si>
    <t>Tel: 62-286-598-8594   Fax: 62-286-598-8650</t>
  </si>
  <si>
    <t>NPWP :0315202689529000</t>
  </si>
  <si>
    <t>Country of Origin : INDONESIA</t>
  </si>
  <si>
    <t>Incoterm: FCA</t>
  </si>
  <si>
    <t xml:space="preserve">Vessel/Flight: </t>
  </si>
  <si>
    <t>C/T No. :                  1</t>
  </si>
  <si>
    <t>Origin</t>
  </si>
  <si>
    <t xml:space="preserve">Entry Line </t>
  </si>
  <si>
    <t>Gross weight</t>
  </si>
  <si>
    <t>Net weight</t>
  </si>
  <si>
    <t>Sequence</t>
  </si>
  <si>
    <t>Manufacturing ID code</t>
  </si>
  <si>
    <t>Quantity</t>
  </si>
  <si>
    <r>
      <t xml:space="preserve">Total value </t>
    </r>
    <r>
      <rPr>
        <sz val="12"/>
        <color theme="1"/>
        <rFont val="Times New Roman"/>
        <family val="1"/>
      </rPr>
      <t>(gold value + stone value + manufacturing value)</t>
    </r>
  </si>
  <si>
    <t>Value of return of customer's stones</t>
  </si>
  <si>
    <t>Applicable manufacturing value</t>
  </si>
  <si>
    <t>Indonesia</t>
  </si>
  <si>
    <t>A</t>
  </si>
  <si>
    <t>Total QTY</t>
  </si>
  <si>
    <t>Handling charge</t>
  </si>
  <si>
    <t>Document fee</t>
  </si>
  <si>
    <t>Dia Value</t>
  </si>
  <si>
    <t>Total Value</t>
  </si>
  <si>
    <t>Manufacturing</t>
  </si>
  <si>
    <t>To  :</t>
  </si>
  <si>
    <t>Gold Value</t>
  </si>
  <si>
    <t>Manufacturing Value</t>
  </si>
  <si>
    <t>Unit Value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</si>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</sst>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(&quot;$&quot;* #,##0.00_);_(&quot;$&quot;* \(#,##0.00\);_(&quot;$&quot;* &quot;-&quot;??_);_(@_)"/>
    <numFmt numFmtId="164" formatCode="_-* #,##0_-;\-* #,##0_-;_-* &quot;-&quot;_-;_-@_-"/>
    <numFmt numFmtId="165" formatCode="&quot;$&quot;#,##0.000_);[Red]\(&quot;$&quot;#,##0.000\)"/>
    <numFmt numFmtId="166" formatCode="dd\-mmm"/>
    <numFmt numFmtId="167" formatCode="&quot;$&quot;\ 0.00"/>
    <numFmt numFmtId="168" formatCode="\U&quot;$&quot;\ #,#00.00"/>
    <numFmt numFmtId="169" formatCode="#,##0.00\ &quot;kg&quot;"/>
    <numFmt numFmtId="170" formatCode="&quot;US$&quot;#,##0.00"/>
    <numFmt numFmtId="171" formatCode="&quot;US$&quot;#,##0.00_);[Red]\(&quot;US$&quot;#,##0.00\)"/>
    <numFmt numFmtId="172" formatCode="#,#00"/>
    <numFmt numFmtId="173" formatCode="0\ &quot;Carton&quot;"/>
    <numFmt numFmtId="174" formatCode="[$-409]d\-mmm\-yyyy;@"/>
    <numFmt numFmtId="175" formatCode="[$-409]d\-mmm\-yyyy"/>
    <numFmt numFmtId="176" formatCode="0.00\ &quot;kg&quot;"/>
    <numFmt numFmtId="177" formatCode="0\ &quot;pcs&quot;"/>
    <numFmt numFmtId="178" formatCode="0.0%"/>
    <numFmt numFmtId="179" formatCode="0.0\ &quot;kg&quot;"/>
    <numFmt numFmtId="180" formatCode="_-* #,##0_-;\-* #,##0_-;_-* &quot;-&quot;_-;_-@"/>
    <numFmt numFmtId="181" formatCode="yyyy\-mm\-dd"/>
  </numFmts>
  <fonts count="52">
    <font>
      <sz val="12"/>
      <name val="宋体"/>
      <charset val="134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i/>
      <sz val="12"/>
      <name val="Garamond"/>
      <family val="1"/>
    </font>
    <font>
      <b/>
      <sz val="12"/>
      <name val="Garamond"/>
      <family val="1"/>
    </font>
    <font>
      <sz val="10"/>
      <name val="Garamond"/>
      <family val="1"/>
    </font>
    <font>
      <sz val="12"/>
      <name val="Garamond"/>
      <family val="1"/>
    </font>
    <font>
      <b/>
      <i/>
      <sz val="20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i/>
      <sz val="12"/>
      <color rgb="FFFF0000"/>
      <name val="Garamond"/>
      <family val="1"/>
    </font>
    <font>
      <sz val="11"/>
      <color rgb="FF9C0006"/>
      <name val="Calibri"/>
      <family val="2"/>
      <scheme val="minor"/>
    </font>
    <font>
      <sz val="11"/>
      <name val="돋움"/>
      <charset val="129"/>
    </font>
    <font>
      <sz val="9"/>
      <name val="Times New Roman"/>
      <family val="1"/>
    </font>
    <font>
      <sz val="9"/>
      <color rgb="FF0000FF"/>
      <name val="Times New Roman"/>
      <family val="1"/>
    </font>
    <font>
      <sz val="8"/>
      <name val="Times New Roman"/>
      <family val="1"/>
    </font>
    <font>
      <sz val="12"/>
      <name val="宋体"/>
      <charset val="134"/>
    </font>
    <font>
      <b/>
      <sz val="14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Calibri"/>
      <family val="2"/>
      <scheme val="minor"/>
    </font>
    <font>
      <i/>
      <sz val="12"/>
      <name val="Garamond"/>
      <family val="1"/>
    </font>
    <font>
      <sz val="12"/>
      <name val="Garamond"/>
      <family val="1"/>
    </font>
    <font>
      <b/>
      <sz val="12"/>
      <name val="Garamond"/>
      <family val="1"/>
    </font>
    <font>
      <sz val="10"/>
      <name val="Garamond"/>
      <family val="1"/>
    </font>
    <font>
      <b/>
      <i/>
      <sz val="20"/>
      <color theme="1"/>
      <name val="Times New Roman"/>
      <family val="1"/>
    </font>
    <font>
      <i/>
      <sz val="12"/>
      <color theme="1"/>
      <name val="Garamond"/>
      <family val="1"/>
    </font>
    <font>
      <sz val="12"/>
      <color theme="1"/>
      <name val="Garamond"/>
      <family val="1"/>
    </font>
    <font>
      <b/>
      <sz val="16"/>
      <color theme="1"/>
      <name val="Times New Roman"/>
      <family val="1"/>
    </font>
    <font>
      <b/>
      <sz val="12"/>
      <color theme="1"/>
      <name val="Garamond"/>
      <family val="1"/>
    </font>
    <font>
      <b/>
      <sz val="10"/>
      <color theme="1"/>
      <name val="Times New Roman"/>
      <family val="1"/>
    </font>
    <font>
      <sz val="10"/>
      <color theme="1"/>
      <name val="Garamond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sz val="14"/>
      <color rgb="FF000000"/>
      <name val="Calibri"/>
      <family val="2"/>
      <scheme val="minor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0"/>
      <name val="Times New Roman"/>
      <family val="1"/>
    </font>
    <font>
      <b/>
      <i/>
      <sz val="12"/>
      <color rgb="FFFF0000"/>
      <name val="Times New Roman"/>
      <family val="1"/>
    </font>
    <font>
      <b/>
      <u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8D8D8"/>
        <bgColor rgb="FFD8D8D8"/>
      </patternFill>
    </fill>
  </fills>
  <borders count="8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>
      <alignment vertical="center"/>
    </xf>
    <xf numFmtId="44" fontId="25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/>
    <xf numFmtId="0" fontId="25" fillId="0" borderId="0">
      <alignment vertical="center"/>
    </xf>
    <xf numFmtId="0" fontId="21" fillId="0" borderId="0">
      <alignment vertical="center"/>
    </xf>
    <xf numFmtId="164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9" fillId="0" borderId="0"/>
    <xf numFmtId="0" fontId="29" fillId="0" borderId="0"/>
  </cellStyleXfs>
  <cellXfs count="504">
    <xf numFmtId="0" fontId="0" fillId="0" borderId="0" xfId="0" applyAlignment="1"/>
    <xf numFmtId="0" fontId="1" fillId="0" borderId="0" xfId="0" applyFont="1" applyAlignment="1">
      <alignment horizontal="center"/>
    </xf>
    <xf numFmtId="0" fontId="2" fillId="2" borderId="0" xfId="0" applyFont="1" applyFill="1" applyAlignment="1"/>
    <xf numFmtId="0" fontId="2" fillId="0" borderId="0" xfId="0" applyFont="1" applyAlignment="1"/>
    <xf numFmtId="0" fontId="3" fillId="0" borderId="0" xfId="6" applyFont="1">
      <alignment vertical="center"/>
    </xf>
    <xf numFmtId="0" fontId="4" fillId="0" borderId="0" xfId="6" applyFont="1">
      <alignment vertical="center"/>
    </xf>
    <xf numFmtId="0" fontId="5" fillId="0" borderId="0" xfId="6" applyFont="1">
      <alignment vertical="center"/>
    </xf>
    <xf numFmtId="0" fontId="6" fillId="0" borderId="0" xfId="6" applyFont="1">
      <alignment vertical="center"/>
    </xf>
    <xf numFmtId="165" fontId="6" fillId="0" borderId="0" xfId="6" applyNumberFormat="1" applyFont="1">
      <alignment vertical="center"/>
    </xf>
    <xf numFmtId="0" fontId="6" fillId="0" borderId="0" xfId="6" applyFont="1" applyAlignment="1">
      <alignment horizontal="right" vertical="center"/>
    </xf>
    <xf numFmtId="44" fontId="6" fillId="0" borderId="0" xfId="1" applyFont="1" applyFill="1" applyBorder="1" applyAlignment="1">
      <alignment horizontal="center" vertical="center"/>
    </xf>
    <xf numFmtId="44" fontId="6" fillId="0" borderId="0" xfId="1" applyFont="1" applyFill="1" applyBorder="1" applyAlignment="1">
      <alignment vertical="center"/>
    </xf>
    <xf numFmtId="0" fontId="8" fillId="0" borderId="0" xfId="6" applyFont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8" fillId="0" borderId="1" xfId="6" applyFont="1" applyBorder="1">
      <alignment vertical="center"/>
    </xf>
    <xf numFmtId="0" fontId="10" fillId="0" borderId="2" xfId="6" applyFont="1" applyBorder="1" applyAlignment="1">
      <alignment horizontal="left" vertical="center"/>
    </xf>
    <xf numFmtId="0" fontId="8" fillId="0" borderId="2" xfId="6" applyFont="1" applyBorder="1">
      <alignment vertical="center"/>
    </xf>
    <xf numFmtId="0" fontId="8" fillId="0" borderId="3" xfId="6" applyFont="1" applyBorder="1">
      <alignment vertical="center"/>
    </xf>
    <xf numFmtId="0" fontId="8" fillId="0" borderId="4" xfId="6" applyFont="1" applyBorder="1">
      <alignment vertical="center"/>
    </xf>
    <xf numFmtId="165" fontId="8" fillId="0" borderId="5" xfId="6" applyNumberFormat="1" applyFont="1" applyBorder="1">
      <alignment vertical="center"/>
    </xf>
    <xf numFmtId="0" fontId="8" fillId="0" borderId="6" xfId="6" applyFont="1" applyBorder="1">
      <alignment vertical="center"/>
    </xf>
    <xf numFmtId="0" fontId="8" fillId="0" borderId="0" xfId="6" applyFont="1">
      <alignment vertical="center"/>
    </xf>
    <xf numFmtId="0" fontId="8" fillId="0" borderId="7" xfId="6" applyFont="1" applyBorder="1">
      <alignment vertical="center"/>
    </xf>
    <xf numFmtId="165" fontId="8" fillId="0" borderId="2" xfId="6" applyNumberFormat="1" applyFont="1" applyBorder="1">
      <alignment vertical="center"/>
    </xf>
    <xf numFmtId="165" fontId="8" fillId="0" borderId="0" xfId="6" applyNumberFormat="1" applyFont="1">
      <alignment vertical="center"/>
    </xf>
    <xf numFmtId="0" fontId="8" fillId="0" borderId="8" xfId="6" applyFont="1" applyBorder="1">
      <alignment vertical="center"/>
    </xf>
    <xf numFmtId="0" fontId="8" fillId="0" borderId="9" xfId="6" applyFont="1" applyBorder="1">
      <alignment vertical="center"/>
    </xf>
    <xf numFmtId="0" fontId="8" fillId="0" borderId="10" xfId="6" applyFont="1" applyBorder="1">
      <alignment vertical="center"/>
    </xf>
    <xf numFmtId="165" fontId="8" fillId="0" borderId="0" xfId="6" applyNumberFormat="1" applyFont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8" fillId="0" borderId="0" xfId="6" applyFont="1" applyAlignment="1">
      <alignment horizontal="left" vertical="center"/>
    </xf>
    <xf numFmtId="165" fontId="8" fillId="0" borderId="5" xfId="6" applyNumberFormat="1" applyFont="1" applyBorder="1" applyAlignment="1">
      <alignment horizontal="left" vertical="center"/>
    </xf>
    <xf numFmtId="0" fontId="8" fillId="0" borderId="9" xfId="6" applyFont="1" applyBorder="1" applyAlignment="1">
      <alignment horizontal="left" vertical="center"/>
    </xf>
    <xf numFmtId="0" fontId="8" fillId="0" borderId="4" xfId="6" applyFont="1" applyBorder="1" applyAlignment="1">
      <alignment horizontal="left" vertical="center"/>
    </xf>
    <xf numFmtId="14" fontId="10" fillId="0" borderId="5" xfId="6" applyNumberFormat="1" applyFont="1" applyBorder="1" applyAlignment="1">
      <alignment horizontal="left" vertical="center"/>
    </xf>
    <xf numFmtId="0" fontId="8" fillId="0" borderId="11" xfId="6" applyFont="1" applyBorder="1">
      <alignment vertical="center"/>
    </xf>
    <xf numFmtId="165" fontId="11" fillId="0" borderId="0" xfId="6" applyNumberFormat="1" applyFont="1" applyAlignment="1">
      <alignment horizontal="left" vertical="center"/>
    </xf>
    <xf numFmtId="0" fontId="8" fillId="0" borderId="5" xfId="6" applyFont="1" applyBorder="1">
      <alignment vertical="center"/>
    </xf>
    <xf numFmtId="0" fontId="10" fillId="0" borderId="4" xfId="6" applyFont="1" applyBorder="1">
      <alignment vertical="center"/>
    </xf>
    <xf numFmtId="0" fontId="10" fillId="0" borderId="0" xfId="6" applyFont="1">
      <alignment vertical="center"/>
    </xf>
    <xf numFmtId="0" fontId="12" fillId="0" borderId="0" xfId="4" applyFont="1" applyAlignment="1"/>
    <xf numFmtId="0" fontId="10" fillId="0" borderId="0" xfId="4" applyFont="1" applyAlignment="1"/>
    <xf numFmtId="0" fontId="13" fillId="0" borderId="0" xfId="0" applyFont="1" applyAlignment="1">
      <alignment horizontal="left"/>
    </xf>
    <xf numFmtId="0" fontId="14" fillId="0" borderId="12" xfId="6" applyFont="1" applyBorder="1" applyAlignment="1">
      <alignment horizontal="center" vertical="center"/>
    </xf>
    <xf numFmtId="0" fontId="14" fillId="0" borderId="13" xfId="6" applyFont="1" applyBorder="1" applyAlignment="1">
      <alignment horizontal="center" vertical="center" wrapText="1"/>
    </xf>
    <xf numFmtId="0" fontId="14" fillId="0" borderId="14" xfId="6" applyFont="1" applyBorder="1" applyAlignment="1">
      <alignment horizontal="center" vertical="center"/>
    </xf>
    <xf numFmtId="0" fontId="14" fillId="0" borderId="15" xfId="6" applyFont="1" applyBorder="1" applyAlignment="1">
      <alignment horizontal="center" vertical="center"/>
    </xf>
    <xf numFmtId="0" fontId="11" fillId="0" borderId="9" xfId="6" applyFont="1" applyBorder="1" applyAlignment="1">
      <alignment horizontal="center" vertical="center"/>
    </xf>
    <xf numFmtId="0" fontId="14" fillId="0" borderId="8" xfId="6" applyFont="1" applyBorder="1" applyAlignment="1">
      <alignment horizontal="left" vertical="center"/>
    </xf>
    <xf numFmtId="164" fontId="14" fillId="0" borderId="8" xfId="5" applyFont="1" applyFill="1" applyBorder="1" applyAlignment="1">
      <alignment horizontal="center" vertical="center"/>
    </xf>
    <xf numFmtId="164" fontId="11" fillId="0" borderId="10" xfId="5" applyFont="1" applyFill="1" applyBorder="1" applyAlignment="1">
      <alignment horizontal="center" vertical="center"/>
    </xf>
    <xf numFmtId="0" fontId="14" fillId="0" borderId="16" xfId="6" applyFont="1" applyBorder="1" applyAlignment="1">
      <alignment horizontal="center" vertical="center"/>
    </xf>
    <xf numFmtId="0" fontId="11" fillId="0" borderId="17" xfId="6" applyFont="1" applyBorder="1" applyAlignment="1">
      <alignment horizontal="center" vertical="center"/>
    </xf>
    <xf numFmtId="0" fontId="15" fillId="0" borderId="18" xfId="6" applyFont="1" applyBorder="1" applyAlignment="1">
      <alignment horizontal="left" vertical="center"/>
    </xf>
    <xf numFmtId="164" fontId="15" fillId="0" borderId="18" xfId="5" applyFont="1" applyFill="1" applyBorder="1" applyAlignment="1">
      <alignment horizontal="center" vertical="center"/>
    </xf>
    <xf numFmtId="164" fontId="15" fillId="0" borderId="19" xfId="5" applyFont="1" applyFill="1" applyBorder="1" applyAlignment="1">
      <alignment horizontal="center" vertical="center"/>
    </xf>
    <xf numFmtId="44" fontId="3" fillId="0" borderId="0" xfId="1" applyFont="1" applyFill="1" applyBorder="1" applyAlignment="1">
      <alignment vertical="center"/>
    </xf>
    <xf numFmtId="44" fontId="4" fillId="0" borderId="0" xfId="1" applyFont="1" applyFill="1" applyBorder="1" applyAlignment="1">
      <alignment vertical="center"/>
    </xf>
    <xf numFmtId="44" fontId="5" fillId="0" borderId="0" xfId="1" applyFont="1" applyFill="1" applyBorder="1" applyAlignment="1">
      <alignment vertical="center"/>
    </xf>
    <xf numFmtId="0" fontId="8" fillId="0" borderId="5" xfId="6" applyFont="1" applyBorder="1" applyAlignment="1">
      <alignment horizontal="left" vertical="center"/>
    </xf>
    <xf numFmtId="44" fontId="5" fillId="0" borderId="0" xfId="1" applyFont="1" applyFill="1" applyBorder="1" applyAlignment="1">
      <alignment horizontal="right" vertical="center"/>
    </xf>
    <xf numFmtId="44" fontId="5" fillId="0" borderId="0" xfId="1" applyFont="1" applyFill="1" applyBorder="1" applyAlignment="1">
      <alignment horizontal="left" vertical="center"/>
    </xf>
    <xf numFmtId="49" fontId="8" fillId="0" borderId="0" xfId="6" applyNumberFormat="1" applyFont="1" applyAlignment="1">
      <alignment horizontal="center" vertical="center"/>
    </xf>
    <xf numFmtId="167" fontId="14" fillId="0" borderId="0" xfId="6" applyNumberFormat="1" applyFont="1" applyAlignment="1">
      <alignment horizontal="left" vertical="center"/>
    </xf>
    <xf numFmtId="168" fontId="11" fillId="0" borderId="0" xfId="6" applyNumberFormat="1" applyFont="1" applyAlignment="1">
      <alignment horizontal="center" vertical="center"/>
    </xf>
    <xf numFmtId="0" fontId="8" fillId="0" borderId="0" xfId="6" applyFont="1" applyAlignment="1">
      <alignment horizontal="right" vertical="center"/>
    </xf>
    <xf numFmtId="44" fontId="5" fillId="0" borderId="0" xfId="1" applyFont="1" applyFill="1" applyBorder="1" applyAlignment="1">
      <alignment horizontal="center" vertical="center"/>
    </xf>
    <xf numFmtId="169" fontId="11" fillId="0" borderId="14" xfId="6" applyNumberFormat="1" applyFont="1" applyBorder="1" applyAlignment="1">
      <alignment horizontal="center" vertical="center"/>
    </xf>
    <xf numFmtId="169" fontId="11" fillId="0" borderId="10" xfId="6" applyNumberFormat="1" applyFont="1" applyBorder="1" applyAlignment="1">
      <alignment horizontal="center" vertical="center"/>
    </xf>
    <xf numFmtId="169" fontId="11" fillId="0" borderId="21" xfId="6" applyNumberFormat="1" applyFont="1" applyBorder="1" applyAlignment="1">
      <alignment horizontal="center" vertical="center"/>
    </xf>
    <xf numFmtId="170" fontId="11" fillId="0" borderId="22" xfId="0" applyNumberFormat="1" applyFont="1" applyBorder="1" applyAlignment="1">
      <alignment horizontal="right" vertical="center"/>
    </xf>
    <xf numFmtId="169" fontId="12" fillId="0" borderId="19" xfId="6" applyNumberFormat="1" applyFont="1" applyBorder="1" applyAlignment="1">
      <alignment horizontal="center" vertical="center"/>
    </xf>
    <xf numFmtId="169" fontId="12" fillId="0" borderId="23" xfId="6" applyNumberFormat="1" applyFont="1" applyBorder="1" applyAlignment="1">
      <alignment horizontal="center" vertical="center"/>
    </xf>
    <xf numFmtId="171" fontId="11" fillId="0" borderId="26" xfId="0" applyNumberFormat="1" applyFont="1" applyBorder="1" applyAlignment="1">
      <alignment horizontal="right" vertical="center"/>
    </xf>
    <xf numFmtId="167" fontId="14" fillId="0" borderId="0" xfId="6" applyNumberFormat="1" applyFont="1" applyAlignment="1">
      <alignment horizontal="center" vertical="center"/>
    </xf>
    <xf numFmtId="0" fontId="14" fillId="0" borderId="0" xfId="6" applyFont="1" applyAlignment="1">
      <alignment horizontal="left" vertical="center"/>
    </xf>
    <xf numFmtId="0" fontId="15" fillId="0" borderId="0" xfId="6" applyFont="1" applyAlignment="1">
      <alignment horizontal="center" vertical="center"/>
    </xf>
    <xf numFmtId="169" fontId="15" fillId="0" borderId="28" xfId="6" applyNumberFormat="1" applyFont="1" applyBorder="1" applyAlignment="1">
      <alignment horizontal="center" vertical="center"/>
    </xf>
    <xf numFmtId="172" fontId="15" fillId="0" borderId="0" xfId="6" applyNumberFormat="1" applyFont="1" applyAlignment="1">
      <alignment horizontal="center" vertical="center"/>
    </xf>
    <xf numFmtId="169" fontId="15" fillId="0" borderId="0" xfId="6" applyNumberFormat="1" applyFont="1" applyAlignment="1">
      <alignment horizontal="center" vertical="center"/>
    </xf>
    <xf numFmtId="169" fontId="15" fillId="0" borderId="0" xfId="6" applyNumberFormat="1" applyFont="1" applyAlignment="1">
      <alignment horizontal="left" vertical="center"/>
    </xf>
    <xf numFmtId="170" fontId="15" fillId="0" borderId="0" xfId="6" applyNumberFormat="1" applyFont="1" applyAlignment="1">
      <alignment horizontal="right" vertical="center"/>
    </xf>
    <xf numFmtId="169" fontId="12" fillId="0" borderId="0" xfId="6" applyNumberFormat="1" applyFont="1" applyAlignment="1">
      <alignment horizontal="center" vertical="center"/>
    </xf>
    <xf numFmtId="170" fontId="12" fillId="0" borderId="0" xfId="6" applyNumberFormat="1" applyFont="1" applyAlignment="1">
      <alignment horizontal="center" vertical="center"/>
    </xf>
    <xf numFmtId="0" fontId="16" fillId="0" borderId="0" xfId="6" applyFont="1" applyAlignment="1">
      <alignment horizontal="right" vertical="center"/>
    </xf>
    <xf numFmtId="165" fontId="8" fillId="0" borderId="9" xfId="6" applyNumberFormat="1" applyFont="1" applyBorder="1" applyAlignment="1">
      <alignment horizontal="center" vertical="center"/>
    </xf>
    <xf numFmtId="166" fontId="8" fillId="0" borderId="5" xfId="6" applyNumberFormat="1" applyFont="1" applyBorder="1" applyAlignment="1">
      <alignment horizontal="left" vertical="center"/>
    </xf>
    <xf numFmtId="164" fontId="15" fillId="0" borderId="0" xfId="5" applyFont="1" applyFill="1" applyBorder="1" applyAlignment="1">
      <alignment horizontal="center" vertical="center"/>
    </xf>
    <xf numFmtId="164" fontId="11" fillId="0" borderId="0" xfId="5" applyFont="1" applyFill="1" applyBorder="1" applyAlignment="1">
      <alignment horizontal="center" vertical="center"/>
    </xf>
    <xf numFmtId="0" fontId="19" fillId="0" borderId="0" xfId="6" applyFont="1">
      <alignment vertical="center"/>
    </xf>
    <xf numFmtId="0" fontId="6" fillId="3" borderId="0" xfId="6" applyFont="1" applyFill="1">
      <alignment vertical="center"/>
    </xf>
    <xf numFmtId="0" fontId="11" fillId="0" borderId="9" xfId="6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7" fillId="0" borderId="21" xfId="6" applyFont="1" applyBorder="1" applyAlignment="1">
      <alignment horizontal="center" vertical="center"/>
    </xf>
    <xf numFmtId="169" fontId="11" fillId="0" borderId="35" xfId="6" applyNumberFormat="1" applyFont="1" applyBorder="1" applyAlignment="1">
      <alignment horizontal="center" vertical="center"/>
    </xf>
    <xf numFmtId="170" fontId="11" fillId="0" borderId="35" xfId="0" applyNumberFormat="1" applyFont="1" applyBorder="1" applyAlignment="1">
      <alignment horizontal="right" vertical="center"/>
    </xf>
    <xf numFmtId="171" fontId="11" fillId="0" borderId="35" xfId="0" applyNumberFormat="1" applyFont="1" applyBorder="1" applyAlignment="1">
      <alignment horizontal="right" vertical="center"/>
    </xf>
    <xf numFmtId="171" fontId="11" fillId="0" borderId="21" xfId="0" applyNumberFormat="1" applyFont="1" applyBorder="1" applyAlignment="1">
      <alignment horizontal="right" vertical="center"/>
    </xf>
    <xf numFmtId="0" fontId="11" fillId="0" borderId="31" xfId="6" applyFont="1" applyBorder="1" applyAlignment="1">
      <alignment horizontal="center" vertical="center"/>
    </xf>
    <xf numFmtId="171" fontId="15" fillId="0" borderId="31" xfId="0" applyNumberFormat="1" applyFont="1" applyBorder="1">
      <alignment vertical="center"/>
    </xf>
    <xf numFmtId="171" fontId="15" fillId="0" borderId="30" xfId="0" applyNumberFormat="1" applyFont="1" applyBorder="1">
      <alignment vertical="center"/>
    </xf>
    <xf numFmtId="0" fontId="17" fillId="0" borderId="0" xfId="6" applyFont="1" applyAlignment="1">
      <alignment horizontal="center" vertical="center"/>
    </xf>
    <xf numFmtId="171" fontId="11" fillId="0" borderId="22" xfId="0" applyNumberFormat="1" applyFont="1" applyBorder="1" applyAlignment="1">
      <alignment horizontal="right" vertical="center"/>
    </xf>
    <xf numFmtId="170" fontId="11" fillId="0" borderId="8" xfId="0" applyNumberFormat="1" applyFont="1" applyBorder="1" applyAlignment="1">
      <alignment horizontal="right" vertical="center"/>
    </xf>
    <xf numFmtId="0" fontId="14" fillId="0" borderId="0" xfId="6" applyFont="1" applyAlignment="1">
      <alignment horizontal="center" vertical="center"/>
    </xf>
    <xf numFmtId="0" fontId="18" fillId="0" borderId="0" xfId="6" applyFont="1">
      <alignment vertical="center"/>
    </xf>
    <xf numFmtId="171" fontId="15" fillId="0" borderId="0" xfId="0" applyNumberFormat="1" applyFont="1" applyAlignment="1">
      <alignment horizontal="center" vertical="center"/>
    </xf>
    <xf numFmtId="167" fontId="14" fillId="0" borderId="0" xfId="6" applyNumberFormat="1" applyFont="1">
      <alignment vertical="center"/>
    </xf>
    <xf numFmtId="0" fontId="15" fillId="0" borderId="0" xfId="6" applyFont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15" fillId="0" borderId="39" xfId="6" applyFont="1" applyBorder="1">
      <alignment vertical="center"/>
    </xf>
    <xf numFmtId="167" fontId="14" fillId="0" borderId="0" xfId="6" applyNumberFormat="1" applyFont="1" applyAlignment="1">
      <alignment horizontal="center" vertical="center"/>
    </xf>
    <xf numFmtId="165" fontId="8" fillId="0" borderId="0" xfId="6" applyNumberFormat="1" applyFont="1" applyBorder="1" applyAlignment="1">
      <alignment horizontal="center" vertical="center"/>
    </xf>
    <xf numFmtId="0" fontId="27" fillId="0" borderId="0" xfId="6" applyFont="1">
      <alignment vertical="center"/>
    </xf>
    <xf numFmtId="0" fontId="27" fillId="0" borderId="0" xfId="6" applyFont="1" applyAlignment="1">
      <alignment horizontal="left" vertical="center"/>
    </xf>
    <xf numFmtId="165" fontId="27" fillId="0" borderId="0" xfId="6" applyNumberFormat="1" applyFont="1">
      <alignment vertical="center"/>
    </xf>
    <xf numFmtId="167" fontId="27" fillId="0" borderId="0" xfId="6" applyNumberFormat="1" applyFont="1" applyAlignment="1">
      <alignment horizontal="left" vertical="center"/>
    </xf>
    <xf numFmtId="0" fontId="28" fillId="0" borderId="0" xfId="6" applyFont="1" applyAlignment="1">
      <alignment horizontal="center" vertical="center"/>
    </xf>
    <xf numFmtId="0" fontId="27" fillId="0" borderId="0" xfId="6" applyFont="1" applyAlignment="1">
      <alignment horizontal="center" vertical="center"/>
    </xf>
    <xf numFmtId="164" fontId="28" fillId="0" borderId="0" xfId="5" applyFont="1" applyFill="1" applyBorder="1" applyAlignment="1">
      <alignment horizontal="center" vertical="center"/>
    </xf>
    <xf numFmtId="171" fontId="28" fillId="0" borderId="0" xfId="0" applyNumberFormat="1" applyFont="1" applyAlignment="1">
      <alignment horizontal="center" vertical="center"/>
    </xf>
    <xf numFmtId="174" fontId="10" fillId="0" borderId="5" xfId="6" applyNumberFormat="1" applyFont="1" applyBorder="1" applyAlignment="1">
      <alignment horizontal="left" vertical="center"/>
    </xf>
    <xf numFmtId="0" fontId="15" fillId="0" borderId="27" xfId="6" applyFont="1" applyBorder="1" applyAlignment="1">
      <alignment horizontal="centerContinuous" vertical="center"/>
    </xf>
    <xf numFmtId="0" fontId="15" fillId="0" borderId="39" xfId="6" applyFont="1" applyBorder="1" applyAlignment="1">
      <alignment horizontal="centerContinuous" vertical="center"/>
    </xf>
    <xf numFmtId="0" fontId="26" fillId="0" borderId="9" xfId="6" applyFont="1" applyBorder="1" applyAlignment="1">
      <alignment vertical="center"/>
    </xf>
    <xf numFmtId="0" fontId="26" fillId="0" borderId="10" xfId="6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Alignment="1">
      <alignment vertical="center"/>
    </xf>
    <xf numFmtId="0" fontId="30" fillId="0" borderId="0" xfId="6" applyFont="1">
      <alignment vertical="center"/>
    </xf>
    <xf numFmtId="44" fontId="31" fillId="0" borderId="0" xfId="1" applyFont="1" applyFill="1" applyBorder="1" applyAlignment="1">
      <alignment vertical="center"/>
    </xf>
    <xf numFmtId="0" fontId="31" fillId="0" borderId="0" xfId="6" applyFont="1">
      <alignment vertical="center"/>
    </xf>
    <xf numFmtId="0" fontId="32" fillId="0" borderId="0" xfId="6" applyFont="1">
      <alignment vertical="center"/>
    </xf>
    <xf numFmtId="0" fontId="33" fillId="0" borderId="0" xfId="6" applyFont="1">
      <alignment vertical="center"/>
    </xf>
    <xf numFmtId="165" fontId="31" fillId="0" borderId="0" xfId="6" applyNumberFormat="1" applyFont="1">
      <alignment vertical="center"/>
    </xf>
    <xf numFmtId="0" fontId="27" fillId="0" borderId="21" xfId="6" applyFont="1" applyBorder="1" applyAlignment="1">
      <alignment horizontal="center" vertical="center"/>
    </xf>
    <xf numFmtId="0" fontId="27" fillId="0" borderId="35" xfId="6" applyFont="1" applyBorder="1" applyAlignment="1">
      <alignment horizontal="center" vertical="center"/>
    </xf>
    <xf numFmtId="44" fontId="35" fillId="0" borderId="0" xfId="1" applyFont="1" applyFill="1" applyBorder="1" applyAlignment="1">
      <alignment vertical="center"/>
    </xf>
    <xf numFmtId="0" fontId="35" fillId="0" borderId="0" xfId="6" applyFont="1">
      <alignment vertical="center"/>
    </xf>
    <xf numFmtId="44" fontId="36" fillId="0" borderId="0" xfId="1" applyFont="1" applyFill="1" applyBorder="1" applyAlignment="1">
      <alignment vertical="center"/>
    </xf>
    <xf numFmtId="0" fontId="36" fillId="0" borderId="0" xfId="6" applyFont="1">
      <alignment vertical="center"/>
    </xf>
    <xf numFmtId="44" fontId="38" fillId="0" borderId="0" xfId="1" applyFont="1" applyFill="1" applyBorder="1" applyAlignment="1">
      <alignment vertical="center"/>
    </xf>
    <xf numFmtId="0" fontId="38" fillId="0" borderId="0" xfId="6" applyFont="1">
      <alignment vertical="center"/>
    </xf>
    <xf numFmtId="0" fontId="17" fillId="0" borderId="1" xfId="6" applyFont="1" applyBorder="1">
      <alignment vertical="center"/>
    </xf>
    <xf numFmtId="0" fontId="39" fillId="0" borderId="2" xfId="6" applyFont="1" applyBorder="1" applyAlignment="1">
      <alignment horizontal="left" vertical="center"/>
    </xf>
    <xf numFmtId="0" fontId="17" fillId="0" borderId="2" xfId="6" applyFont="1" applyBorder="1">
      <alignment vertical="center"/>
    </xf>
    <xf numFmtId="0" fontId="17" fillId="0" borderId="3" xfId="6" applyFont="1" applyBorder="1">
      <alignment vertical="center"/>
    </xf>
    <xf numFmtId="0" fontId="17" fillId="0" borderId="4" xfId="6" applyFont="1" applyBorder="1">
      <alignment vertical="center"/>
    </xf>
    <xf numFmtId="0" fontId="17" fillId="0" borderId="5" xfId="6" applyFont="1" applyBorder="1">
      <alignment vertical="center"/>
    </xf>
    <xf numFmtId="0" fontId="17" fillId="0" borderId="11" xfId="6" applyFont="1" applyBorder="1">
      <alignment vertical="center"/>
    </xf>
    <xf numFmtId="44" fontId="40" fillId="0" borderId="0" xfId="1" applyFont="1" applyFill="1" applyBorder="1" applyAlignment="1">
      <alignment vertical="center"/>
    </xf>
    <xf numFmtId="0" fontId="40" fillId="0" borderId="0" xfId="6" applyFont="1">
      <alignment vertical="center"/>
    </xf>
    <xf numFmtId="0" fontId="17" fillId="0" borderId="6" xfId="6" applyFont="1" applyBorder="1">
      <alignment vertical="center"/>
    </xf>
    <xf numFmtId="0" fontId="17" fillId="0" borderId="0" xfId="6" applyFont="1" applyBorder="1">
      <alignment vertical="center"/>
    </xf>
    <xf numFmtId="0" fontId="17" fillId="0" borderId="7" xfId="6" applyFont="1" applyBorder="1">
      <alignment vertical="center"/>
    </xf>
    <xf numFmtId="0" fontId="17" fillId="0" borderId="2" xfId="6" applyFont="1" applyBorder="1" applyAlignment="1">
      <alignment horizontal="left" vertical="center"/>
    </xf>
    <xf numFmtId="0" fontId="17" fillId="0" borderId="8" xfId="6" applyFont="1" applyBorder="1">
      <alignment vertical="center"/>
    </xf>
    <xf numFmtId="0" fontId="17" fillId="0" borderId="9" xfId="6" applyFont="1" applyBorder="1">
      <alignment vertical="center"/>
    </xf>
    <xf numFmtId="0" fontId="17" fillId="0" borderId="10" xfId="6" applyFont="1" applyBorder="1">
      <alignment vertical="center"/>
    </xf>
    <xf numFmtId="0" fontId="17" fillId="0" borderId="0" xfId="6" applyFont="1" applyBorder="1" applyAlignment="1">
      <alignment horizontal="left" vertical="center"/>
    </xf>
    <xf numFmtId="0" fontId="17" fillId="0" borderId="5" xfId="6" applyFont="1" applyBorder="1" applyAlignment="1">
      <alignment horizontal="left" vertical="center"/>
    </xf>
    <xf numFmtId="0" fontId="17" fillId="0" borderId="9" xfId="6" applyFont="1" applyBorder="1" applyAlignment="1">
      <alignment horizontal="left" vertical="center"/>
    </xf>
    <xf numFmtId="0" fontId="17" fillId="0" borderId="4" xfId="6" applyFont="1" applyBorder="1" applyAlignment="1">
      <alignment horizontal="left" vertical="center"/>
    </xf>
    <xf numFmtId="174" fontId="39" fillId="0" borderId="5" xfId="6" applyNumberFormat="1" applyFont="1" applyBorder="1" applyAlignment="1">
      <alignment horizontal="left" vertical="center"/>
    </xf>
    <xf numFmtId="166" fontId="17" fillId="0" borderId="5" xfId="6" applyNumberFormat="1" applyFont="1" applyBorder="1" applyAlignment="1">
      <alignment horizontal="left" vertical="center"/>
    </xf>
    <xf numFmtId="14" fontId="39" fillId="0" borderId="5" xfId="6" applyNumberFormat="1" applyFont="1" applyBorder="1" applyAlignment="1">
      <alignment horizontal="left" vertical="center"/>
    </xf>
    <xf numFmtId="49" fontId="17" fillId="0" borderId="7" xfId="6" applyNumberFormat="1" applyFont="1" applyBorder="1" applyAlignment="1">
      <alignment horizontal="center" vertical="center"/>
    </xf>
    <xf numFmtId="0" fontId="40" fillId="0" borderId="0" xfId="6" applyFont="1" applyBorder="1">
      <alignment vertical="center"/>
    </xf>
    <xf numFmtId="0" fontId="41" fillId="0" borderId="10" xfId="6" applyFont="1" applyBorder="1" applyAlignment="1">
      <alignment horizontal="left" vertical="center"/>
    </xf>
    <xf numFmtId="0" fontId="39" fillId="0" borderId="4" xfId="6" applyFont="1" applyBorder="1">
      <alignment vertical="center"/>
    </xf>
    <xf numFmtId="0" fontId="39" fillId="0" borderId="0" xfId="6" applyFont="1">
      <alignment vertical="center"/>
    </xf>
    <xf numFmtId="0" fontId="17" fillId="0" borderId="0" xfId="6" applyFont="1">
      <alignment vertical="center"/>
    </xf>
    <xf numFmtId="165" fontId="17" fillId="0" borderId="0" xfId="6" applyNumberFormat="1" applyFont="1">
      <alignment vertical="center"/>
    </xf>
    <xf numFmtId="0" fontId="17" fillId="0" borderId="0" xfId="6" applyFont="1" applyAlignment="1">
      <alignment horizontal="left" vertical="center"/>
    </xf>
    <xf numFmtId="0" fontId="42" fillId="0" borderId="0" xfId="4" applyFont="1" applyAlignment="1">
      <alignment vertical="center"/>
    </xf>
    <xf numFmtId="0" fontId="39" fillId="0" borderId="0" xfId="4" applyFont="1" applyAlignment="1"/>
    <xf numFmtId="0" fontId="37" fillId="0" borderId="0" xfId="6" applyFont="1" applyAlignment="1">
      <alignment horizontal="center" vertical="center"/>
    </xf>
    <xf numFmtId="168" fontId="41" fillId="0" borderId="0" xfId="6" applyNumberFormat="1" applyFont="1" applyAlignment="1">
      <alignment horizontal="center" vertical="center"/>
    </xf>
    <xf numFmtId="0" fontId="17" fillId="0" borderId="0" xfId="0" applyFont="1" applyAlignment="1">
      <alignment horizontal="left"/>
    </xf>
    <xf numFmtId="0" fontId="28" fillId="6" borderId="27" xfId="6" applyFont="1" applyFill="1" applyBorder="1" applyAlignment="1">
      <alignment horizontal="center" vertical="center"/>
    </xf>
    <xf numFmtId="0" fontId="28" fillId="6" borderId="28" xfId="6" applyFont="1" applyFill="1" applyBorder="1" applyAlignment="1">
      <alignment horizontal="center" vertical="center" wrapText="1"/>
    </xf>
    <xf numFmtId="0" fontId="28" fillId="6" borderId="28" xfId="6" applyFont="1" applyFill="1" applyBorder="1" applyAlignment="1">
      <alignment horizontal="center" vertical="center"/>
    </xf>
    <xf numFmtId="169" fontId="28" fillId="6" borderId="28" xfId="6" applyNumberFormat="1" applyFont="1" applyFill="1" applyBorder="1" applyAlignment="1">
      <alignment horizontal="center" vertical="center"/>
    </xf>
    <xf numFmtId="0" fontId="28" fillId="6" borderId="28" xfId="0" applyFont="1" applyFill="1" applyBorder="1" applyAlignment="1">
      <alignment horizontal="center" vertical="center" wrapText="1"/>
    </xf>
    <xf numFmtId="0" fontId="28" fillId="6" borderId="29" xfId="0" applyFont="1" applyFill="1" applyBorder="1" applyAlignment="1">
      <alignment horizontal="center" vertical="center" wrapText="1"/>
    </xf>
    <xf numFmtId="0" fontId="27" fillId="0" borderId="35" xfId="6" applyFont="1" applyBorder="1" applyAlignment="1">
      <alignment horizontal="left" vertical="center"/>
    </xf>
    <xf numFmtId="0" fontId="27" fillId="0" borderId="21" xfId="6" applyFont="1" applyBorder="1" applyAlignment="1">
      <alignment horizontal="left" vertical="center"/>
    </xf>
    <xf numFmtId="0" fontId="27" fillId="0" borderId="49" xfId="6" applyFont="1" applyBorder="1" applyAlignment="1">
      <alignment horizontal="center" vertical="center"/>
    </xf>
    <xf numFmtId="0" fontId="27" fillId="0" borderId="49" xfId="6" applyFont="1" applyBorder="1" applyAlignment="1">
      <alignment horizontal="left" vertical="center"/>
    </xf>
    <xf numFmtId="0" fontId="28" fillId="0" borderId="28" xfId="6" applyFont="1" applyBorder="1" applyAlignment="1">
      <alignment horizontal="left" vertical="center"/>
    </xf>
    <xf numFmtId="169" fontId="28" fillId="5" borderId="28" xfId="6" applyNumberFormat="1" applyFont="1" applyFill="1" applyBorder="1" applyAlignment="1">
      <alignment horizontal="center" vertical="center"/>
    </xf>
    <xf numFmtId="171" fontId="28" fillId="5" borderId="29" xfId="0" applyNumberFormat="1" applyFont="1" applyFill="1" applyBorder="1">
      <alignment vertical="center"/>
    </xf>
    <xf numFmtId="164" fontId="41" fillId="0" borderId="0" xfId="5" applyFont="1" applyFill="1" applyBorder="1" applyAlignment="1">
      <alignment horizontal="center" vertical="center"/>
    </xf>
    <xf numFmtId="169" fontId="42" fillId="0" borderId="0" xfId="6" applyNumberFormat="1" applyFont="1" applyAlignment="1">
      <alignment horizontal="center" vertical="center"/>
    </xf>
    <xf numFmtId="167" fontId="27" fillId="0" borderId="0" xfId="6" applyNumberFormat="1" applyFont="1" applyAlignment="1">
      <alignment horizontal="center" vertical="center"/>
    </xf>
    <xf numFmtId="165" fontId="17" fillId="0" borderId="9" xfId="6" applyNumberFormat="1" applyFont="1" applyBorder="1" applyAlignment="1">
      <alignment horizontal="center" vertical="center"/>
    </xf>
    <xf numFmtId="165" fontId="36" fillId="0" borderId="0" xfId="6" applyNumberFormat="1" applyFont="1">
      <alignment vertical="center"/>
    </xf>
    <xf numFmtId="0" fontId="27" fillId="0" borderId="21" xfId="8" applyFont="1" applyBorder="1" applyAlignment="1">
      <alignment horizontal="center" vertical="center"/>
    </xf>
    <xf numFmtId="0" fontId="28" fillId="6" borderId="46" xfId="6" applyFont="1" applyFill="1" applyBorder="1" applyAlignment="1">
      <alignment horizontal="center" vertical="center"/>
    </xf>
    <xf numFmtId="169" fontId="28" fillId="6" borderId="23" xfId="6" applyNumberFormat="1" applyFont="1" applyFill="1" applyBorder="1" applyAlignment="1">
      <alignment horizontal="center" vertical="center"/>
    </xf>
    <xf numFmtId="0" fontId="28" fillId="6" borderId="24" xfId="0" applyFont="1" applyFill="1" applyBorder="1" applyAlignment="1">
      <alignment horizontal="center" vertical="center" wrapText="1"/>
    </xf>
    <xf numFmtId="169" fontId="28" fillId="0" borderId="47" xfId="6" applyNumberFormat="1" applyFont="1" applyBorder="1" applyAlignment="1">
      <alignment horizontal="center" vertical="center"/>
    </xf>
    <xf numFmtId="171" fontId="28" fillId="0" borderId="0" xfId="0" applyNumberFormat="1" applyFont="1" applyBorder="1" applyAlignment="1">
      <alignment horizontal="center" vertical="center"/>
    </xf>
    <xf numFmtId="165" fontId="26" fillId="0" borderId="0" xfId="6" applyNumberFormat="1" applyFont="1" applyAlignment="1">
      <alignment horizontal="center" vertical="center"/>
    </xf>
    <xf numFmtId="0" fontId="8" fillId="0" borderId="0" xfId="6" applyFont="1" applyBorder="1">
      <alignment vertical="center"/>
    </xf>
    <xf numFmtId="165" fontId="26" fillId="0" borderId="0" xfId="6" applyNumberFormat="1" applyFont="1" applyAlignment="1">
      <alignment vertical="center"/>
    </xf>
    <xf numFmtId="165" fontId="8" fillId="0" borderId="0" xfId="6" applyNumberFormat="1" applyFont="1" applyAlignment="1">
      <alignment vertical="center"/>
    </xf>
    <xf numFmtId="165" fontId="8" fillId="0" borderId="0" xfId="6" applyNumberFormat="1" applyFont="1" applyAlignment="1">
      <alignment horizontal="center" vertical="center"/>
    </xf>
    <xf numFmtId="0" fontId="5" fillId="0" borderId="0" xfId="6" applyFont="1" applyBorder="1">
      <alignment vertical="center"/>
    </xf>
    <xf numFmtId="165" fontId="8" fillId="0" borderId="0" xfId="6" applyNumberFormat="1" applyFont="1" applyBorder="1" applyAlignment="1">
      <alignment horizontal="left" vertical="center"/>
    </xf>
    <xf numFmtId="165" fontId="26" fillId="0" borderId="0" xfId="6" applyNumberFormat="1" applyFont="1" applyBorder="1" applyAlignment="1">
      <alignment vertical="center"/>
    </xf>
    <xf numFmtId="165" fontId="26" fillId="0" borderId="0" xfId="6" applyNumberFormat="1" applyFont="1" applyBorder="1" applyAlignment="1">
      <alignment horizontal="center" vertical="center"/>
    </xf>
    <xf numFmtId="0" fontId="8" fillId="0" borderId="0" xfId="6" applyFont="1" applyBorder="1" applyAlignment="1">
      <alignment horizontal="left" vertical="center"/>
    </xf>
    <xf numFmtId="0" fontId="5" fillId="0" borderId="7" xfId="6" applyFont="1" applyBorder="1">
      <alignment vertical="center"/>
    </xf>
    <xf numFmtId="165" fontId="11" fillId="0" borderId="0" xfId="6" applyNumberFormat="1" applyFont="1" applyBorder="1" applyAlignment="1">
      <alignment horizontal="left" vertical="center"/>
    </xf>
    <xf numFmtId="49" fontId="8" fillId="0" borderId="0" xfId="6" applyNumberFormat="1" applyFont="1" applyBorder="1" applyAlignment="1">
      <alignment horizontal="center" vertical="center"/>
    </xf>
    <xf numFmtId="165" fontId="17" fillId="0" borderId="0" xfId="6" applyNumberFormat="1" applyFont="1" applyBorder="1" applyAlignment="1">
      <alignment vertical="center"/>
    </xf>
    <xf numFmtId="165" fontId="17" fillId="0" borderId="7" xfId="6" applyNumberFormat="1" applyFont="1" applyBorder="1" applyAlignment="1">
      <alignment vertical="center"/>
    </xf>
    <xf numFmtId="49" fontId="17" fillId="0" borderId="0" xfId="6" applyNumberFormat="1" applyFont="1" applyBorder="1" applyAlignment="1">
      <alignment horizontal="center" vertical="center"/>
    </xf>
    <xf numFmtId="0" fontId="41" fillId="0" borderId="9" xfId="6" applyFont="1" applyBorder="1" applyAlignment="1">
      <alignment horizontal="left" vertical="center"/>
    </xf>
    <xf numFmtId="0" fontId="15" fillId="0" borderId="27" xfId="6" applyFont="1" applyBorder="1" applyAlignment="1">
      <alignment horizontal="center" vertical="center"/>
    </xf>
    <xf numFmtId="164" fontId="11" fillId="0" borderId="10" xfId="5" applyFont="1" applyFill="1" applyBorder="1" applyAlignment="1">
      <alignment horizontal="left" vertical="center"/>
    </xf>
    <xf numFmtId="164" fontId="11" fillId="0" borderId="10" xfId="2" applyNumberFormat="1" applyFont="1" applyFill="1" applyBorder="1" applyAlignment="1">
      <alignment horizontal="left" vertical="center"/>
    </xf>
    <xf numFmtId="0" fontId="7" fillId="0" borderId="0" xfId="6" applyFont="1" applyAlignment="1">
      <alignment horizontal="center" vertical="center"/>
    </xf>
    <xf numFmtId="0" fontId="8" fillId="0" borderId="0" xfId="6" applyFont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15" fillId="0" borderId="0" xfId="6" applyFont="1" applyAlignment="1">
      <alignment horizontal="center" vertical="center" wrapText="1"/>
    </xf>
    <xf numFmtId="0" fontId="46" fillId="0" borderId="0" xfId="7" applyFont="1" applyAlignment="1">
      <alignment horizontal="center" vertical="center"/>
    </xf>
    <xf numFmtId="44" fontId="47" fillId="0" borderId="0" xfId="7" applyNumberFormat="1" applyFont="1" applyAlignment="1">
      <alignment vertical="center"/>
    </xf>
    <xf numFmtId="0" fontId="47" fillId="0" borderId="0" xfId="7" applyFont="1" applyAlignment="1">
      <alignment vertical="center"/>
    </xf>
    <xf numFmtId="0" fontId="29" fillId="0" borderId="0" xfId="7"/>
    <xf numFmtId="0" fontId="27" fillId="0" borderId="0" xfId="7" applyFont="1" applyAlignment="1">
      <alignment horizontal="center" vertical="center"/>
    </xf>
    <xf numFmtId="44" fontId="27" fillId="0" borderId="0" xfId="7" applyNumberFormat="1" applyFont="1" applyAlignment="1">
      <alignment vertical="center"/>
    </xf>
    <xf numFmtId="0" fontId="27" fillId="0" borderId="0" xfId="7" applyFont="1" applyAlignment="1">
      <alignment vertical="center"/>
    </xf>
    <xf numFmtId="0" fontId="28" fillId="0" borderId="0" xfId="7" applyFont="1" applyAlignment="1">
      <alignment horizontal="center" vertical="center"/>
    </xf>
    <xf numFmtId="44" fontId="28" fillId="0" borderId="0" xfId="7" applyNumberFormat="1" applyFont="1" applyAlignment="1">
      <alignment vertical="center"/>
    </xf>
    <xf numFmtId="0" fontId="28" fillId="0" borderId="0" xfId="7" applyFont="1" applyAlignment="1">
      <alignment vertical="center"/>
    </xf>
    <xf numFmtId="0" fontId="27" fillId="0" borderId="1" xfId="7" applyFont="1" applyBorder="1" applyAlignment="1">
      <alignment vertical="center"/>
    </xf>
    <xf numFmtId="0" fontId="28" fillId="0" borderId="2" xfId="7" applyFont="1" applyBorder="1" applyAlignment="1">
      <alignment horizontal="left" vertical="center"/>
    </xf>
    <xf numFmtId="0" fontId="28" fillId="0" borderId="2" xfId="7" applyFont="1" applyBorder="1" applyAlignment="1">
      <alignment horizontal="center" vertical="center"/>
    </xf>
    <xf numFmtId="0" fontId="27" fillId="0" borderId="2" xfId="7" applyFont="1" applyBorder="1" applyAlignment="1">
      <alignment vertical="center"/>
    </xf>
    <xf numFmtId="0" fontId="27" fillId="0" borderId="54" xfId="7" applyFont="1" applyBorder="1" applyAlignment="1">
      <alignment vertical="center"/>
    </xf>
    <xf numFmtId="0" fontId="27" fillId="0" borderId="55" xfId="7" applyFont="1" applyBorder="1" applyAlignment="1">
      <alignment vertical="center"/>
    </xf>
    <xf numFmtId="165" fontId="27" fillId="0" borderId="56" xfId="7" applyNumberFormat="1" applyFont="1" applyBorder="1" applyAlignment="1">
      <alignment vertical="center"/>
    </xf>
    <xf numFmtId="0" fontId="27" fillId="0" borderId="56" xfId="7" applyFont="1" applyBorder="1" applyAlignment="1">
      <alignment vertical="center"/>
    </xf>
    <xf numFmtId="0" fontId="27" fillId="0" borderId="57" xfId="7" applyFont="1" applyBorder="1" applyAlignment="1">
      <alignment vertical="center"/>
    </xf>
    <xf numFmtId="0" fontId="27" fillId="0" borderId="6" xfId="7" applyFont="1" applyBorder="1" applyAlignment="1">
      <alignment vertical="center"/>
    </xf>
    <xf numFmtId="0" fontId="27" fillId="0" borderId="58" xfId="7" applyFont="1" applyBorder="1" applyAlignment="1">
      <alignment vertical="center"/>
    </xf>
    <xf numFmtId="0" fontId="27" fillId="0" borderId="59" xfId="7" applyFont="1" applyBorder="1" applyAlignment="1">
      <alignment vertical="center"/>
    </xf>
    <xf numFmtId="165" fontId="27" fillId="0" borderId="60" xfId="7" applyNumberFormat="1" applyFont="1" applyBorder="1" applyAlignment="1">
      <alignment vertical="center"/>
    </xf>
    <xf numFmtId="0" fontId="27" fillId="0" borderId="60" xfId="7" applyFont="1" applyBorder="1" applyAlignment="1">
      <alignment vertical="center"/>
    </xf>
    <xf numFmtId="0" fontId="27" fillId="0" borderId="61" xfId="7" applyFont="1" applyBorder="1" applyAlignment="1">
      <alignment vertical="center"/>
    </xf>
    <xf numFmtId="0" fontId="27" fillId="0" borderId="62" xfId="7" applyFont="1" applyBorder="1" applyAlignment="1">
      <alignment vertical="center"/>
    </xf>
    <xf numFmtId="165" fontId="27" fillId="0" borderId="63" xfId="7" applyNumberFormat="1" applyFont="1" applyBorder="1" applyAlignment="1">
      <alignment vertical="center"/>
    </xf>
    <xf numFmtId="165" fontId="28" fillId="0" borderId="63" xfId="7" applyNumberFormat="1" applyFont="1" applyBorder="1" applyAlignment="1">
      <alignment vertical="center"/>
    </xf>
    <xf numFmtId="0" fontId="28" fillId="0" borderId="63" xfId="7" applyFont="1" applyBorder="1" applyAlignment="1">
      <alignment horizontal="left" vertical="center"/>
    </xf>
    <xf numFmtId="0" fontId="27" fillId="0" borderId="63" xfId="7" applyFont="1" applyBorder="1" applyAlignment="1">
      <alignment vertical="center"/>
    </xf>
    <xf numFmtId="0" fontId="27" fillId="0" borderId="64" xfId="7" applyFont="1" applyBorder="1" applyAlignment="1">
      <alignment vertical="center"/>
    </xf>
    <xf numFmtId="0" fontId="27" fillId="0" borderId="65" xfId="7" applyFont="1" applyBorder="1" applyAlignment="1">
      <alignment vertical="center"/>
    </xf>
    <xf numFmtId="165" fontId="27" fillId="0" borderId="0" xfId="7" applyNumberFormat="1" applyFont="1" applyAlignment="1">
      <alignment vertical="center"/>
    </xf>
    <xf numFmtId="0" fontId="27" fillId="0" borderId="0" xfId="7" applyFont="1" applyAlignment="1">
      <alignment horizontal="left" vertical="center"/>
    </xf>
    <xf numFmtId="0" fontId="27" fillId="0" borderId="7" xfId="7" applyFont="1" applyBorder="1" applyAlignment="1">
      <alignment vertical="center"/>
    </xf>
    <xf numFmtId="165" fontId="28" fillId="0" borderId="0" xfId="7" applyNumberFormat="1" applyFont="1" applyAlignment="1">
      <alignment horizontal="center" vertical="center"/>
    </xf>
    <xf numFmtId="0" fontId="27" fillId="0" borderId="66" xfId="7" applyFont="1" applyBorder="1" applyAlignment="1">
      <alignment vertical="center"/>
    </xf>
    <xf numFmtId="0" fontId="27" fillId="0" borderId="67" xfId="7" applyFont="1" applyBorder="1" applyAlignment="1">
      <alignment vertical="center"/>
    </xf>
    <xf numFmtId="0" fontId="27" fillId="0" borderId="67" xfId="7" applyFont="1" applyBorder="1" applyAlignment="1">
      <alignment horizontal="center" vertical="center"/>
    </xf>
    <xf numFmtId="165" fontId="27" fillId="0" borderId="0" xfId="7" applyNumberFormat="1" applyFont="1" applyAlignment="1">
      <alignment horizontal="left" vertical="center"/>
    </xf>
    <xf numFmtId="0" fontId="27" fillId="0" borderId="68" xfId="7" applyFont="1" applyBorder="1" applyAlignment="1">
      <alignment vertical="center"/>
    </xf>
    <xf numFmtId="0" fontId="28" fillId="0" borderId="63" xfId="7" applyFont="1" applyBorder="1" applyAlignment="1">
      <alignment horizontal="center" vertical="center"/>
    </xf>
    <xf numFmtId="0" fontId="27" fillId="0" borderId="63" xfId="7" applyFont="1" applyBorder="1" applyAlignment="1">
      <alignment horizontal="left" vertical="center"/>
    </xf>
    <xf numFmtId="44" fontId="27" fillId="0" borderId="0" xfId="7" applyNumberFormat="1" applyFont="1" applyAlignment="1">
      <alignment horizontal="right" vertical="center"/>
    </xf>
    <xf numFmtId="0" fontId="27" fillId="0" borderId="69" xfId="7" applyFont="1" applyBorder="1" applyAlignment="1">
      <alignment vertical="center"/>
    </xf>
    <xf numFmtId="165" fontId="27" fillId="0" borderId="67" xfId="7" applyNumberFormat="1" applyFont="1" applyBorder="1" applyAlignment="1">
      <alignment horizontal="left" vertical="center"/>
    </xf>
    <xf numFmtId="0" fontId="27" fillId="0" borderId="67" xfId="7" applyFont="1" applyBorder="1" applyAlignment="1">
      <alignment horizontal="left" vertical="center"/>
    </xf>
    <xf numFmtId="0" fontId="27" fillId="0" borderId="70" xfId="7" applyFont="1" applyBorder="1" applyAlignment="1">
      <alignment vertical="center"/>
    </xf>
    <xf numFmtId="44" fontId="27" fillId="0" borderId="0" xfId="7" applyNumberFormat="1" applyFont="1" applyAlignment="1">
      <alignment horizontal="left" vertical="center"/>
    </xf>
    <xf numFmtId="0" fontId="27" fillId="0" borderId="71" xfId="7" applyFont="1" applyBorder="1" applyAlignment="1">
      <alignment vertical="center"/>
    </xf>
    <xf numFmtId="49" fontId="27" fillId="0" borderId="0" xfId="7" applyNumberFormat="1" applyFont="1" applyAlignment="1">
      <alignment horizontal="center" vertical="center"/>
    </xf>
    <xf numFmtId="0" fontId="27" fillId="0" borderId="72" xfId="7" applyFont="1" applyBorder="1" applyAlignment="1">
      <alignment horizontal="left" vertical="center"/>
    </xf>
    <xf numFmtId="175" fontId="27" fillId="0" borderId="60" xfId="7" applyNumberFormat="1" applyFont="1" applyBorder="1" applyAlignment="1">
      <alignment horizontal="left" vertical="center"/>
    </xf>
    <xf numFmtId="14" fontId="28" fillId="0" borderId="60" xfId="7" applyNumberFormat="1" applyFont="1" applyBorder="1" applyAlignment="1">
      <alignment horizontal="left" vertical="center"/>
    </xf>
    <xf numFmtId="14" fontId="27" fillId="0" borderId="60" xfId="7" applyNumberFormat="1" applyFont="1" applyBorder="1" applyAlignment="1">
      <alignment horizontal="left" vertical="center"/>
    </xf>
    <xf numFmtId="0" fontId="27" fillId="0" borderId="73" xfId="7" applyFont="1" applyBorder="1" applyAlignment="1">
      <alignment vertical="center"/>
    </xf>
    <xf numFmtId="0" fontId="27" fillId="0" borderId="72" xfId="7" applyFont="1" applyBorder="1" applyAlignment="1">
      <alignment vertical="center"/>
    </xf>
    <xf numFmtId="0" fontId="27" fillId="0" borderId="60" xfId="7" applyFont="1" applyBorder="1" applyAlignment="1">
      <alignment horizontal="left" vertical="center"/>
    </xf>
    <xf numFmtId="0" fontId="27" fillId="0" borderId="74" xfId="7" applyFont="1" applyBorder="1" applyAlignment="1">
      <alignment vertical="center"/>
    </xf>
    <xf numFmtId="0" fontId="27" fillId="0" borderId="75" xfId="7" applyFont="1" applyBorder="1" applyAlignment="1">
      <alignment vertical="center"/>
    </xf>
    <xf numFmtId="0" fontId="27" fillId="0" borderId="75" xfId="7" applyFont="1" applyBorder="1" applyAlignment="1">
      <alignment horizontal="center" vertical="center"/>
    </xf>
    <xf numFmtId="0" fontId="27" fillId="0" borderId="76" xfId="7" applyFont="1" applyBorder="1" applyAlignment="1">
      <alignment vertical="center"/>
    </xf>
    <xf numFmtId="0" fontId="27" fillId="0" borderId="77" xfId="7" applyFont="1" applyBorder="1" applyAlignment="1">
      <alignment vertical="center"/>
    </xf>
    <xf numFmtId="165" fontId="27" fillId="0" borderId="75" xfId="7" applyNumberFormat="1" applyFont="1" applyBorder="1" applyAlignment="1">
      <alignment vertical="center"/>
    </xf>
    <xf numFmtId="0" fontId="27" fillId="0" borderId="75" xfId="7" applyFont="1" applyBorder="1" applyAlignment="1">
      <alignment horizontal="left" vertical="center"/>
    </xf>
    <xf numFmtId="0" fontId="27" fillId="0" borderId="78" xfId="7" applyFont="1" applyBorder="1" applyAlignment="1">
      <alignment vertical="center"/>
    </xf>
    <xf numFmtId="0" fontId="28" fillId="0" borderId="0" xfId="7" applyFont="1"/>
    <xf numFmtId="167" fontId="27" fillId="0" borderId="0" xfId="7" applyNumberFormat="1" applyFont="1" applyAlignment="1">
      <alignment horizontal="left" vertical="center"/>
    </xf>
    <xf numFmtId="168" fontId="27" fillId="0" borderId="0" xfId="7" applyNumberFormat="1" applyFont="1" applyAlignment="1">
      <alignment horizontal="center" vertical="center"/>
    </xf>
    <xf numFmtId="44" fontId="27" fillId="0" borderId="0" xfId="7" applyNumberFormat="1" applyFont="1" applyAlignment="1">
      <alignment horizontal="center" vertical="center"/>
    </xf>
    <xf numFmtId="170" fontId="27" fillId="0" borderId="0" xfId="7" applyNumberFormat="1" applyFont="1" applyAlignment="1">
      <alignment horizontal="right" vertical="center"/>
    </xf>
    <xf numFmtId="0" fontId="27" fillId="0" borderId="21" xfId="7" applyFont="1" applyBorder="1" applyAlignment="1">
      <alignment horizontal="center" vertical="center" wrapText="1"/>
    </xf>
    <xf numFmtId="0" fontId="27" fillId="0" borderId="21" xfId="7" applyFont="1" applyBorder="1" applyAlignment="1">
      <alignment horizontal="center" vertical="center"/>
    </xf>
    <xf numFmtId="176" fontId="27" fillId="0" borderId="21" xfId="7" applyNumberFormat="1" applyFont="1" applyBorder="1" applyAlignment="1">
      <alignment horizontal="center" vertical="center"/>
    </xf>
    <xf numFmtId="1" fontId="27" fillId="0" borderId="4" xfId="7" applyNumberFormat="1" applyFont="1" applyBorder="1" applyAlignment="1">
      <alignment horizontal="right" vertical="center"/>
    </xf>
    <xf numFmtId="177" fontId="27" fillId="0" borderId="11" xfId="7" applyNumberFormat="1" applyFont="1" applyBorder="1" applyAlignment="1">
      <alignment horizontal="left" vertical="center"/>
    </xf>
    <xf numFmtId="44" fontId="27" fillId="0" borderId="21" xfId="7" applyNumberFormat="1" applyFont="1" applyBorder="1" applyAlignment="1">
      <alignment horizontal="center" vertical="center"/>
    </xf>
    <xf numFmtId="44" fontId="27" fillId="0" borderId="21" xfId="7" applyNumberFormat="1" applyFont="1" applyBorder="1" applyAlignment="1">
      <alignment horizontal="center" vertical="center" wrapText="1"/>
    </xf>
    <xf numFmtId="9" fontId="27" fillId="0" borderId="0" xfId="7" applyNumberFormat="1" applyFont="1"/>
    <xf numFmtId="178" fontId="27" fillId="0" borderId="0" xfId="7" applyNumberFormat="1" applyFont="1"/>
    <xf numFmtId="0" fontId="27" fillId="0" borderId="2" xfId="7" applyFont="1" applyBorder="1" applyAlignment="1">
      <alignment horizontal="center" vertical="center"/>
    </xf>
    <xf numFmtId="171" fontId="27" fillId="0" borderId="0" xfId="7" applyNumberFormat="1" applyFont="1" applyAlignment="1">
      <alignment horizontal="center" vertical="center"/>
    </xf>
    <xf numFmtId="170" fontId="27" fillId="0" borderId="0" xfId="7" applyNumberFormat="1" applyFont="1" applyAlignment="1">
      <alignment horizontal="center" vertical="center"/>
    </xf>
    <xf numFmtId="0" fontId="29" fillId="0" borderId="0" xfId="7" applyAlignment="1">
      <alignment horizontal="center" vertical="center"/>
    </xf>
    <xf numFmtId="0" fontId="27" fillId="0" borderId="0" xfId="7" applyFont="1"/>
    <xf numFmtId="179" fontId="27" fillId="0" borderId="0" xfId="7" applyNumberFormat="1" applyFont="1" applyAlignment="1">
      <alignment horizontal="center"/>
    </xf>
    <xf numFmtId="0" fontId="27" fillId="0" borderId="0" xfId="7" applyFont="1" applyAlignment="1">
      <alignment horizontal="left"/>
    </xf>
    <xf numFmtId="177" fontId="27" fillId="0" borderId="0" xfId="7" applyNumberFormat="1" applyFont="1" applyAlignment="1">
      <alignment horizontal="center"/>
    </xf>
    <xf numFmtId="44" fontId="27" fillId="0" borderId="0" xfId="7" applyNumberFormat="1" applyFont="1" applyAlignment="1">
      <alignment horizontal="center"/>
    </xf>
    <xf numFmtId="171" fontId="27" fillId="0" borderId="0" xfId="7" applyNumberFormat="1" applyFont="1" applyAlignment="1">
      <alignment horizontal="right" vertical="center"/>
    </xf>
    <xf numFmtId="0" fontId="49" fillId="0" borderId="0" xfId="7" applyFont="1"/>
    <xf numFmtId="44" fontId="27" fillId="0" borderId="0" xfId="7" applyNumberFormat="1" applyFont="1"/>
    <xf numFmtId="0" fontId="27" fillId="0" borderId="21" xfId="7" applyFont="1" applyBorder="1" applyAlignment="1">
      <alignment vertical="center" wrapText="1"/>
    </xf>
    <xf numFmtId="169" fontId="27" fillId="0" borderId="35" xfId="7" applyNumberFormat="1" applyFont="1" applyBorder="1" applyAlignment="1">
      <alignment horizontal="center" vertical="center"/>
    </xf>
    <xf numFmtId="176" fontId="27" fillId="0" borderId="35" xfId="7" applyNumberFormat="1" applyFont="1" applyBorder="1" applyAlignment="1">
      <alignment horizontal="center" vertical="center"/>
    </xf>
    <xf numFmtId="1" fontId="27" fillId="0" borderId="8" xfId="7" applyNumberFormat="1" applyFont="1" applyBorder="1" applyAlignment="1">
      <alignment horizontal="right" vertical="center"/>
    </xf>
    <xf numFmtId="177" fontId="27" fillId="0" borderId="10" xfId="7" applyNumberFormat="1" applyFont="1" applyBorder="1" applyAlignment="1">
      <alignment horizontal="left" vertical="center"/>
    </xf>
    <xf numFmtId="44" fontId="27" fillId="0" borderId="35" xfId="7" applyNumberFormat="1" applyFont="1" applyBorder="1" applyAlignment="1">
      <alignment horizontal="center" vertical="center"/>
    </xf>
    <xf numFmtId="44" fontId="27" fillId="0" borderId="35" xfId="7" applyNumberFormat="1" applyFont="1" applyBorder="1" applyAlignment="1">
      <alignment horizontal="center" vertical="center" wrapText="1"/>
    </xf>
    <xf numFmtId="178" fontId="27" fillId="0" borderId="0" xfId="7" applyNumberFormat="1" applyFont="1" applyAlignment="1">
      <alignment vertical="center"/>
    </xf>
    <xf numFmtId="169" fontId="27" fillId="0" borderId="21" xfId="7" applyNumberFormat="1" applyFont="1" applyBorder="1" applyAlignment="1">
      <alignment horizontal="center" vertical="center"/>
    </xf>
    <xf numFmtId="0" fontId="49" fillId="0" borderId="0" xfId="7" applyFont="1" applyAlignment="1">
      <alignment vertical="center"/>
    </xf>
    <xf numFmtId="176" fontId="28" fillId="7" borderId="21" xfId="7" applyNumberFormat="1" applyFont="1" applyFill="1" applyBorder="1" applyAlignment="1">
      <alignment horizontal="center" vertical="center"/>
    </xf>
    <xf numFmtId="44" fontId="28" fillId="7" borderId="21" xfId="7" applyNumberFormat="1" applyFont="1" applyFill="1" applyBorder="1" applyAlignment="1">
      <alignment horizontal="center" vertical="center"/>
    </xf>
    <xf numFmtId="180" fontId="27" fillId="0" borderId="0" xfId="7" applyNumberFormat="1" applyFont="1" applyAlignment="1">
      <alignment horizontal="center" vertical="center"/>
    </xf>
    <xf numFmtId="169" fontId="28" fillId="0" borderId="0" xfId="7" applyNumberFormat="1" applyFont="1" applyAlignment="1">
      <alignment horizontal="center" vertical="center"/>
    </xf>
    <xf numFmtId="171" fontId="28" fillId="0" borderId="0" xfId="7" applyNumberFormat="1" applyFont="1" applyAlignment="1">
      <alignment horizontal="center" vertical="center"/>
    </xf>
    <xf numFmtId="171" fontId="28" fillId="0" borderId="21" xfId="7" applyNumberFormat="1" applyFont="1" applyBorder="1" applyAlignment="1">
      <alignment horizontal="right" vertical="center"/>
    </xf>
    <xf numFmtId="44" fontId="28" fillId="0" borderId="21" xfId="7" applyNumberFormat="1" applyFont="1" applyBorder="1" applyAlignment="1">
      <alignment horizontal="center" vertical="center"/>
    </xf>
    <xf numFmtId="167" fontId="27" fillId="0" borderId="0" xfId="7" applyNumberFormat="1" applyFont="1"/>
    <xf numFmtId="171" fontId="28" fillId="7" borderId="21" xfId="7" applyNumberFormat="1" applyFont="1" applyFill="1" applyBorder="1" applyAlignment="1">
      <alignment horizontal="center" vertical="center"/>
    </xf>
    <xf numFmtId="0" fontId="49" fillId="0" borderId="0" xfId="7" applyFont="1" applyAlignment="1">
      <alignment horizontal="center" vertical="center"/>
    </xf>
    <xf numFmtId="169" fontId="28" fillId="0" borderId="0" xfId="7" applyNumberFormat="1" applyFont="1" applyAlignment="1">
      <alignment horizontal="left" vertical="center"/>
    </xf>
    <xf numFmtId="0" fontId="50" fillId="0" borderId="0" xfId="7" applyFont="1" applyAlignment="1">
      <alignment vertical="center"/>
    </xf>
    <xf numFmtId="172" fontId="28" fillId="0" borderId="0" xfId="7" applyNumberFormat="1" applyFont="1" applyAlignment="1">
      <alignment horizontal="center" vertical="center"/>
    </xf>
    <xf numFmtId="170" fontId="28" fillId="0" borderId="0" xfId="7" applyNumberFormat="1" applyFont="1" applyAlignment="1">
      <alignment horizontal="right" vertical="center"/>
    </xf>
    <xf numFmtId="167" fontId="27" fillId="0" borderId="0" xfId="7" applyNumberFormat="1" applyFont="1" applyAlignment="1">
      <alignment horizontal="center" vertical="center"/>
    </xf>
    <xf numFmtId="170" fontId="28" fillId="0" borderId="0" xfId="7" applyNumberFormat="1" applyFont="1" applyAlignment="1">
      <alignment horizontal="center" vertical="center"/>
    </xf>
    <xf numFmtId="0" fontId="51" fillId="0" borderId="0" xfId="7" applyFont="1" applyAlignment="1">
      <alignment horizontal="right" vertical="center"/>
    </xf>
    <xf numFmtId="165" fontId="27" fillId="0" borderId="0" xfId="7" applyNumberFormat="1" applyFont="1" applyAlignment="1">
      <alignment horizontal="center" vertical="center"/>
    </xf>
    <xf numFmtId="165" fontId="27" fillId="0" borderId="67" xfId="7" applyNumberFormat="1" applyFont="1" applyBorder="1" applyAlignment="1">
      <alignment horizontal="center" vertical="center"/>
    </xf>
    <xf numFmtId="0" fontId="15" fillId="0" borderId="0" xfId="6" applyFont="1" applyBorder="1" applyAlignment="1">
      <alignment horizontal="center" vertical="center"/>
    </xf>
    <xf numFmtId="0" fontId="26" fillId="0" borderId="0" xfId="6" applyFont="1" applyBorder="1" applyAlignment="1">
      <alignment vertical="center"/>
    </xf>
    <xf numFmtId="170" fontId="15" fillId="0" borderId="0" xfId="6" applyNumberFormat="1" applyFont="1" applyBorder="1" applyAlignment="1">
      <alignment horizontal="right" vertical="center"/>
    </xf>
    <xf numFmtId="0" fontId="28" fillId="0" borderId="21" xfId="7" applyFont="1" applyBorder="1" applyAlignment="1">
      <alignment horizontal="center" vertical="center"/>
    </xf>
    <xf numFmtId="0" fontId="28" fillId="0" borderId="21" xfId="7" applyFont="1" applyBorder="1" applyAlignment="1">
      <alignment horizontal="center" vertical="center" wrapText="1"/>
    </xf>
    <xf numFmtId="0" fontId="27" fillId="0" borderId="0" xfId="7" applyFont="1" applyBorder="1" applyAlignment="1">
      <alignment horizontal="center" vertical="center"/>
    </xf>
    <xf numFmtId="169" fontId="15" fillId="0" borderId="27" xfId="6" applyNumberFormat="1" applyFont="1" applyBorder="1" applyAlignment="1">
      <alignment horizontal="center" vertical="center"/>
    </xf>
    <xf numFmtId="174" fontId="15" fillId="0" borderId="5" xfId="6" applyNumberFormat="1" applyFont="1" applyBorder="1" applyAlignment="1">
      <alignment horizontal="left" vertical="center"/>
    </xf>
    <xf numFmtId="0" fontId="8" fillId="0" borderId="0" xfId="6" applyFont="1" applyAlignment="1">
      <alignment horizontal="center" vertical="center"/>
    </xf>
    <xf numFmtId="0" fontId="27" fillId="0" borderId="21" xfId="6" applyFont="1" applyBorder="1" applyAlignment="1">
      <alignment horizontal="center" vertical="center"/>
    </xf>
    <xf numFmtId="0" fontId="27" fillId="0" borderId="49" xfId="6" applyFont="1" applyBorder="1" applyAlignment="1">
      <alignment horizontal="center" vertical="center"/>
    </xf>
    <xf numFmtId="0" fontId="27" fillId="0" borderId="35" xfId="6" applyFont="1" applyBorder="1" applyAlignment="1">
      <alignment horizontal="center" vertical="center"/>
    </xf>
    <xf numFmtId="0" fontId="28" fillId="6" borderId="23" xfId="6" applyFont="1" applyFill="1" applyBorder="1" applyAlignment="1">
      <alignment horizontal="center" vertical="center" wrapText="1"/>
    </xf>
    <xf numFmtId="0" fontId="28" fillId="6" borderId="23" xfId="6" applyFont="1" applyFill="1" applyBorder="1" applyAlignment="1">
      <alignment horizontal="center" vertical="center"/>
    </xf>
    <xf numFmtId="0" fontId="5" fillId="0" borderId="0" xfId="6" applyFont="1" applyAlignment="1">
      <alignment horizontal="center" vertical="center"/>
    </xf>
    <xf numFmtId="2" fontId="5" fillId="0" borderId="0" xfId="6" applyNumberFormat="1" applyFont="1" applyAlignment="1">
      <alignment horizontal="center" vertical="center"/>
    </xf>
    <xf numFmtId="169" fontId="15" fillId="0" borderId="79" xfId="6" applyNumberFormat="1" applyFont="1" applyBorder="1" applyAlignment="1">
      <alignment horizontal="center" vertical="center"/>
    </xf>
    <xf numFmtId="170" fontId="15" fillId="0" borderId="37" xfId="6" applyNumberFormat="1" applyFont="1" applyBorder="1" applyAlignment="1">
      <alignment horizontal="right" vertical="center"/>
    </xf>
    <xf numFmtId="169" fontId="15" fillId="0" borderId="25" xfId="6" applyNumberFormat="1" applyFont="1" applyBorder="1" applyAlignment="1">
      <alignment horizontal="center" vertical="center"/>
    </xf>
    <xf numFmtId="170" fontId="15" fillId="0" borderId="80" xfId="6" applyNumberFormat="1" applyFont="1" applyBorder="1" applyAlignment="1">
      <alignment horizontal="right" vertical="center"/>
    </xf>
    <xf numFmtId="170" fontId="15" fillId="0" borderId="43" xfId="6" applyNumberFormat="1" applyFont="1" applyBorder="1" applyAlignment="1">
      <alignment horizontal="right" vertical="center"/>
    </xf>
    <xf numFmtId="0" fontId="7" fillId="0" borderId="0" xfId="6" applyFont="1" applyAlignment="1">
      <alignment horizontal="center" vertical="center"/>
    </xf>
    <xf numFmtId="0" fontId="8" fillId="0" borderId="0" xfId="6" applyFont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15" fillId="0" borderId="0" xfId="6" applyFont="1" applyAlignment="1">
      <alignment horizontal="center" vertical="center" wrapText="1"/>
    </xf>
    <xf numFmtId="0" fontId="17" fillId="0" borderId="0" xfId="6" applyFont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28" fillId="6" borderId="28" xfId="6" applyFont="1" applyFill="1" applyBorder="1" applyAlignment="1">
      <alignment horizontal="center" vertical="center" wrapText="1"/>
    </xf>
    <xf numFmtId="0" fontId="28" fillId="6" borderId="28" xfId="6" applyFont="1" applyFill="1" applyBorder="1" applyAlignment="1">
      <alignment horizontal="center" vertical="center"/>
    </xf>
    <xf numFmtId="0" fontId="27" fillId="0" borderId="35" xfId="6" applyFont="1" applyBorder="1" applyAlignment="1">
      <alignment horizontal="center" vertical="center"/>
    </xf>
    <xf numFmtId="0" fontId="27" fillId="0" borderId="21" xfId="6" applyFont="1" applyBorder="1" applyAlignment="1">
      <alignment horizontal="center" vertical="center"/>
    </xf>
    <xf numFmtId="0" fontId="27" fillId="0" borderId="49" xfId="6" applyFont="1" applyBorder="1" applyAlignment="1">
      <alignment horizontal="center" vertical="center"/>
    </xf>
    <xf numFmtId="0" fontId="28" fillId="6" borderId="23" xfId="6" applyFont="1" applyFill="1" applyBorder="1" applyAlignment="1">
      <alignment horizontal="center" vertical="center" wrapText="1"/>
    </xf>
    <xf numFmtId="0" fontId="28" fillId="6" borderId="23" xfId="6" applyFont="1" applyFill="1" applyBorder="1" applyAlignment="1">
      <alignment horizontal="center" vertical="center"/>
    </xf>
    <xf numFmtId="181" fontId="8" fillId="0" borderId="5" xfId="6" applyNumberFormat="1" applyFont="1" applyBorder="1" applyAlignment="1">
      <alignment horizontal="left" vertical="center"/>
    </xf>
    <xf numFmtId="0" fontId="14" fillId="0" borderId="34" xfId="0" applyFont="1" applyBorder="1" applyAlignment="1">
      <alignment horizontal="center" vertical="center" wrapText="1"/>
    </xf>
    <xf numFmtId="170" fontId="11" fillId="0" borderId="38" xfId="0" applyNumberFormat="1" applyFont="1" applyBorder="1" applyAlignment="1">
      <alignment horizontal="right" vertical="center"/>
    </xf>
    <xf numFmtId="171" fontId="15" fillId="0" borderId="81" xfId="0" applyNumberFormat="1" applyFont="1" applyBorder="1">
      <alignment vertical="center"/>
    </xf>
    <xf numFmtId="0" fontId="14" fillId="0" borderId="12" xfId="0" applyFont="1" applyBorder="1" applyAlignment="1">
      <alignment horizontal="center" vertical="center" wrapText="1"/>
    </xf>
    <xf numFmtId="170" fontId="11" fillId="0" borderId="15" xfId="0" applyNumberFormat="1" applyFont="1" applyBorder="1" applyAlignment="1">
      <alignment horizontal="right" vertical="center"/>
    </xf>
    <xf numFmtId="171" fontId="15" fillId="0" borderId="16" xfId="0" applyNumberFormat="1" applyFont="1" applyBorder="1">
      <alignment vertical="center"/>
    </xf>
    <xf numFmtId="0" fontId="7" fillId="0" borderId="0" xfId="6" applyFont="1" applyAlignment="1">
      <alignment horizontal="center" vertical="center"/>
    </xf>
    <xf numFmtId="0" fontId="8" fillId="0" borderId="0" xfId="6" applyFont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14" fillId="0" borderId="14" xfId="6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5" fillId="0" borderId="0" xfId="6" applyFont="1" applyAlignment="1">
      <alignment horizontal="center" vertical="center" wrapText="1"/>
    </xf>
    <xf numFmtId="0" fontId="17" fillId="0" borderId="0" xfId="6" applyFont="1" applyAlignment="1">
      <alignment horizontal="center" vertical="center"/>
    </xf>
    <xf numFmtId="0" fontId="6" fillId="0" borderId="0" xfId="6" applyFont="1" applyFill="1">
      <alignment vertical="center"/>
    </xf>
    <xf numFmtId="0" fontId="10" fillId="0" borderId="5" xfId="6" applyFont="1" applyBorder="1" applyAlignment="1">
      <alignment horizontal="left" vertical="center"/>
    </xf>
    <xf numFmtId="0" fontId="15" fillId="0" borderId="3" xfId="6" applyFont="1" applyBorder="1" applyAlignment="1">
      <alignment vertical="center"/>
    </xf>
    <xf numFmtId="0" fontId="15" fillId="0" borderId="7" xfId="6" applyFont="1" applyBorder="1" applyAlignment="1">
      <alignment vertical="center"/>
    </xf>
    <xf numFmtId="0" fontId="8" fillId="0" borderId="11" xfId="6" applyFont="1" applyBorder="1" applyAlignment="1">
      <alignment horizontal="left" vertical="center"/>
    </xf>
    <xf numFmtId="0" fontId="8" fillId="0" borderId="3" xfId="6" applyFont="1" applyBorder="1" applyAlignment="1">
      <alignment horizontal="left" vertical="center"/>
    </xf>
    <xf numFmtId="165" fontId="26" fillId="0" borderId="7" xfId="6" applyNumberFormat="1" applyFont="1" applyBorder="1" applyAlignment="1">
      <alignment horizontal="left" vertical="center"/>
    </xf>
    <xf numFmtId="49" fontId="8" fillId="0" borderId="7" xfId="6" applyNumberFormat="1" applyFont="1" applyBorder="1" applyAlignment="1">
      <alignment horizontal="center" vertical="center"/>
    </xf>
    <xf numFmtId="0" fontId="11" fillId="0" borderId="10" xfId="6" applyFont="1" applyBorder="1" applyAlignment="1">
      <alignment horizontal="left" vertical="center"/>
    </xf>
    <xf numFmtId="0" fontId="11" fillId="0" borderId="35" xfId="0" applyNumberFormat="1" applyFont="1" applyBorder="1" applyAlignment="1">
      <alignment horizontal="right" vertical="center"/>
    </xf>
    <xf numFmtId="0" fontId="15" fillId="0" borderId="42" xfId="6" applyFont="1" applyBorder="1" applyAlignment="1">
      <alignment horizontal="centerContinuous" vertical="center"/>
    </xf>
    <xf numFmtId="0" fontId="15" fillId="0" borderId="28" xfId="6" applyNumberFormat="1" applyFont="1" applyBorder="1" applyAlignment="1">
      <alignment horizontal="center" vertical="center"/>
    </xf>
    <xf numFmtId="1" fontId="15" fillId="0" borderId="40" xfId="6" applyNumberFormat="1" applyFont="1" applyBorder="1" applyAlignment="1">
      <alignment horizontal="center" vertical="center"/>
    </xf>
    <xf numFmtId="1" fontId="15" fillId="0" borderId="41" xfId="6" applyNumberFormat="1" applyFont="1" applyBorder="1" applyAlignment="1">
      <alignment horizontal="center" vertical="center"/>
    </xf>
    <xf numFmtId="170" fontId="15" fillId="0" borderId="40" xfId="6" applyNumberFormat="1" applyFont="1" applyBorder="1" applyAlignment="1">
      <alignment horizontal="center" vertical="center"/>
    </xf>
    <xf numFmtId="170" fontId="15" fillId="0" borderId="41" xfId="6" applyNumberFormat="1" applyFont="1" applyBorder="1" applyAlignment="1">
      <alignment horizontal="center" vertical="center"/>
    </xf>
    <xf numFmtId="0" fontId="14" fillId="0" borderId="14" xfId="6" applyFont="1" applyBorder="1" applyAlignment="1">
      <alignment horizontal="center" vertical="center"/>
    </xf>
    <xf numFmtId="168" fontId="15" fillId="0" borderId="17" xfId="6" applyNumberFormat="1" applyFont="1" applyBorder="1" applyAlignment="1">
      <alignment horizontal="center" vertical="center"/>
    </xf>
    <xf numFmtId="0" fontId="15" fillId="0" borderId="17" xfId="6" applyFont="1" applyBorder="1" applyAlignment="1">
      <alignment horizontal="center" vertical="center" wrapText="1"/>
    </xf>
    <xf numFmtId="0" fontId="7" fillId="0" borderId="0" xfId="6" applyFont="1" applyAlignment="1">
      <alignment horizontal="center" vertical="center"/>
    </xf>
    <xf numFmtId="0" fontId="7" fillId="3" borderId="0" xfId="6" applyFont="1" applyFill="1" applyAlignment="1">
      <alignment horizontal="center" vertical="center"/>
    </xf>
    <xf numFmtId="0" fontId="8" fillId="0" borderId="0" xfId="6" applyFont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15" fillId="0" borderId="3" xfId="6" applyFont="1" applyBorder="1" applyAlignment="1">
      <alignment horizontal="center" vertical="center"/>
    </xf>
    <xf numFmtId="0" fontId="15" fillId="0" borderId="7" xfId="6" applyFont="1" applyBorder="1" applyAlignment="1">
      <alignment horizontal="center" vertical="center"/>
    </xf>
    <xf numFmtId="1" fontId="15" fillId="0" borderId="53" xfId="5" applyNumberFormat="1" applyFont="1" applyFill="1" applyBorder="1" applyAlignment="1">
      <alignment horizontal="center" vertical="center"/>
    </xf>
    <xf numFmtId="1" fontId="15" fillId="0" borderId="52" xfId="5" applyNumberFormat="1" applyFont="1" applyFill="1" applyBorder="1" applyAlignment="1">
      <alignment horizontal="center" vertical="center"/>
    </xf>
    <xf numFmtId="173" fontId="11" fillId="0" borderId="6" xfId="0" applyNumberFormat="1" applyFont="1" applyBorder="1" applyAlignment="1">
      <alignment horizontal="center" vertical="center"/>
    </xf>
    <xf numFmtId="173" fontId="11" fillId="0" borderId="0" xfId="0" applyNumberFormat="1" applyFont="1" applyAlignment="1">
      <alignment horizontal="center" vertical="center"/>
    </xf>
    <xf numFmtId="173" fontId="11" fillId="0" borderId="37" xfId="0" applyNumberFormat="1" applyFont="1" applyBorder="1" applyAlignment="1">
      <alignment horizontal="center" vertical="center"/>
    </xf>
    <xf numFmtId="173" fontId="11" fillId="0" borderId="8" xfId="0" applyNumberFormat="1" applyFont="1" applyBorder="1" applyAlignment="1">
      <alignment horizontal="center" vertical="center"/>
    </xf>
    <xf numFmtId="173" fontId="11" fillId="0" borderId="9" xfId="0" applyNumberFormat="1" applyFont="1" applyBorder="1" applyAlignment="1">
      <alignment horizontal="center" vertical="center"/>
    </xf>
    <xf numFmtId="173" fontId="11" fillId="0" borderId="38" xfId="0" applyNumberFormat="1" applyFont="1" applyBorder="1" applyAlignment="1">
      <alignment horizontal="center" vertical="center"/>
    </xf>
    <xf numFmtId="173" fontId="15" fillId="0" borderId="17" xfId="0" applyNumberFormat="1" applyFont="1" applyBorder="1" applyAlignment="1">
      <alignment horizontal="center" vertical="center"/>
    </xf>
    <xf numFmtId="173" fontId="15" fillId="0" borderId="36" xfId="0" applyNumberFormat="1" applyFont="1" applyBorder="1" applyAlignment="1">
      <alignment horizontal="center" vertical="center"/>
    </xf>
    <xf numFmtId="0" fontId="15" fillId="0" borderId="0" xfId="6" applyFont="1" applyAlignment="1">
      <alignment horizontal="center" vertical="center" wrapText="1"/>
    </xf>
    <xf numFmtId="173" fontId="15" fillId="0" borderId="42" xfId="6" applyNumberFormat="1" applyFont="1" applyBorder="1" applyAlignment="1">
      <alignment horizontal="center" vertical="center"/>
    </xf>
    <xf numFmtId="173" fontId="15" fillId="0" borderId="39" xfId="6" applyNumberFormat="1" applyFont="1" applyBorder="1" applyAlignment="1">
      <alignment horizontal="center" vertical="center"/>
    </xf>
    <xf numFmtId="173" fontId="15" fillId="0" borderId="43" xfId="6" applyNumberFormat="1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173" fontId="11" fillId="0" borderId="0" xfId="0" applyNumberFormat="1" applyFont="1" applyBorder="1" applyAlignment="1">
      <alignment horizontal="center" vertical="center"/>
    </xf>
    <xf numFmtId="0" fontId="34" fillId="0" borderId="0" xfId="6" applyFont="1" applyAlignment="1">
      <alignment horizontal="center" vertical="center"/>
    </xf>
    <xf numFmtId="0" fontId="34" fillId="3" borderId="0" xfId="6" applyFont="1" applyFill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28" fillId="6" borderId="28" xfId="6" applyFont="1" applyFill="1" applyBorder="1" applyAlignment="1">
      <alignment horizontal="center" vertical="center" wrapText="1"/>
    </xf>
    <xf numFmtId="0" fontId="28" fillId="6" borderId="28" xfId="6" applyFont="1" applyFill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25" xfId="6" applyFont="1" applyBorder="1" applyAlignment="1">
      <alignment horizontal="center" vertical="center"/>
    </xf>
    <xf numFmtId="0" fontId="27" fillId="0" borderId="35" xfId="6" applyFont="1" applyBorder="1" applyAlignment="1">
      <alignment horizontal="center" vertical="center"/>
    </xf>
    <xf numFmtId="0" fontId="27" fillId="0" borderId="21" xfId="6" applyFont="1" applyBorder="1" applyAlignment="1">
      <alignment horizontal="center" vertical="center"/>
    </xf>
    <xf numFmtId="0" fontId="27" fillId="0" borderId="47" xfId="6" applyFont="1" applyBorder="1" applyAlignment="1">
      <alignment horizontal="center" vertical="center"/>
    </xf>
    <xf numFmtId="164" fontId="27" fillId="0" borderId="50" xfId="5" applyFont="1" applyFill="1" applyBorder="1" applyAlignment="1">
      <alignment horizontal="center" vertical="center"/>
    </xf>
    <xf numFmtId="164" fontId="27" fillId="0" borderId="8" xfId="5" applyFont="1" applyFill="1" applyBorder="1" applyAlignment="1">
      <alignment horizontal="center" vertical="center"/>
    </xf>
    <xf numFmtId="164" fontId="27" fillId="0" borderId="51" xfId="5" applyFont="1" applyFill="1" applyBorder="1" applyAlignment="1">
      <alignment horizontal="left" vertical="center"/>
    </xf>
    <xf numFmtId="164" fontId="27" fillId="0" borderId="10" xfId="5" applyFont="1" applyFill="1" applyBorder="1" applyAlignment="1">
      <alignment horizontal="left" vertical="center"/>
    </xf>
    <xf numFmtId="169" fontId="27" fillId="0" borderId="47" xfId="6" applyNumberFormat="1" applyFont="1" applyBorder="1" applyAlignment="1">
      <alignment horizontal="center" vertical="center"/>
    </xf>
    <xf numFmtId="169" fontId="27" fillId="0" borderId="35" xfId="6" applyNumberFormat="1" applyFont="1" applyBorder="1" applyAlignment="1">
      <alignment horizontal="center" vertical="center"/>
    </xf>
    <xf numFmtId="171" fontId="27" fillId="0" borderId="48" xfId="0" applyNumberFormat="1" applyFont="1" applyBorder="1" applyAlignment="1">
      <alignment horizontal="right" vertical="center"/>
    </xf>
    <xf numFmtId="171" fontId="27" fillId="0" borderId="22" xfId="0" applyNumberFormat="1" applyFont="1" applyBorder="1" applyAlignment="1">
      <alignment horizontal="right" vertical="center"/>
    </xf>
    <xf numFmtId="0" fontId="10" fillId="0" borderId="3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164" fontId="27" fillId="0" borderId="4" xfId="5" applyFont="1" applyFill="1" applyBorder="1" applyAlignment="1">
      <alignment horizontal="center" vertical="center"/>
    </xf>
    <xf numFmtId="164" fontId="27" fillId="0" borderId="11" xfId="5" applyFont="1" applyFill="1" applyBorder="1" applyAlignment="1">
      <alignment horizontal="left" vertical="center"/>
    </xf>
    <xf numFmtId="169" fontId="27" fillId="0" borderId="21" xfId="6" applyNumberFormat="1" applyFont="1" applyBorder="1" applyAlignment="1">
      <alignment horizontal="center" vertical="center"/>
    </xf>
    <xf numFmtId="171" fontId="27" fillId="0" borderId="26" xfId="0" applyNumberFormat="1" applyFont="1" applyBorder="1" applyAlignment="1">
      <alignment horizontal="right" vertical="center"/>
    </xf>
    <xf numFmtId="169" fontId="27" fillId="0" borderId="49" xfId="6" applyNumberFormat="1" applyFont="1" applyBorder="1" applyAlignment="1">
      <alignment horizontal="center" vertical="center"/>
    </xf>
    <xf numFmtId="171" fontId="27" fillId="0" borderId="45" xfId="0" applyNumberFormat="1" applyFont="1" applyBorder="1" applyAlignment="1">
      <alignment horizontal="right" vertical="center"/>
    </xf>
    <xf numFmtId="0" fontId="28" fillId="0" borderId="27" xfId="6" applyFont="1" applyBorder="1" applyAlignment="1">
      <alignment horizontal="center" vertical="center"/>
    </xf>
    <xf numFmtId="0" fontId="28" fillId="0" borderId="28" xfId="6" applyFont="1" applyBorder="1" applyAlignment="1">
      <alignment horizontal="center" vertical="center"/>
    </xf>
    <xf numFmtId="0" fontId="27" fillId="0" borderId="44" xfId="6" applyFont="1" applyBorder="1" applyAlignment="1">
      <alignment horizontal="center" vertical="center"/>
    </xf>
    <xf numFmtId="0" fontId="27" fillId="0" borderId="49" xfId="6" applyFont="1" applyBorder="1" applyAlignment="1">
      <alignment horizontal="center" vertical="center"/>
    </xf>
    <xf numFmtId="164" fontId="27" fillId="0" borderId="1" xfId="5" applyFont="1" applyFill="1" applyBorder="1" applyAlignment="1">
      <alignment horizontal="center" vertical="center"/>
    </xf>
    <xf numFmtId="164" fontId="27" fillId="0" borderId="52" xfId="5" applyFont="1" applyFill="1" applyBorder="1" applyAlignment="1">
      <alignment horizontal="left" vertical="center"/>
    </xf>
    <xf numFmtId="170" fontId="27" fillId="0" borderId="47" xfId="0" applyNumberFormat="1" applyFont="1" applyBorder="1" applyAlignment="1">
      <alignment horizontal="right" vertical="center"/>
    </xf>
    <xf numFmtId="170" fontId="27" fillId="0" borderId="35" xfId="0" applyNumberFormat="1" applyFont="1" applyBorder="1" applyAlignment="1">
      <alignment horizontal="right" vertical="center"/>
    </xf>
    <xf numFmtId="1" fontId="28" fillId="5" borderId="40" xfId="5" applyNumberFormat="1" applyFont="1" applyFill="1" applyBorder="1" applyAlignment="1">
      <alignment horizontal="center" vertical="center"/>
    </xf>
    <xf numFmtId="1" fontId="28" fillId="5" borderId="41" xfId="5" applyNumberFormat="1" applyFont="1" applyFill="1" applyBorder="1" applyAlignment="1">
      <alignment horizontal="center" vertical="center"/>
    </xf>
    <xf numFmtId="170" fontId="27" fillId="0" borderId="21" xfId="0" applyNumberFormat="1" applyFont="1" applyBorder="1" applyAlignment="1">
      <alignment horizontal="right" vertical="center"/>
    </xf>
    <xf numFmtId="170" fontId="27" fillId="0" borderId="49" xfId="0" applyNumberFormat="1" applyFont="1" applyBorder="1" applyAlignment="1">
      <alignment horizontal="right" vertical="center"/>
    </xf>
    <xf numFmtId="164" fontId="28" fillId="5" borderId="40" xfId="5" applyFont="1" applyFill="1" applyBorder="1" applyAlignment="1">
      <alignment horizontal="center" vertical="center"/>
    </xf>
    <xf numFmtId="164" fontId="28" fillId="5" borderId="41" xfId="5" applyFont="1" applyFill="1" applyBorder="1" applyAlignment="1">
      <alignment horizontal="center" vertical="center"/>
    </xf>
    <xf numFmtId="0" fontId="28" fillId="6" borderId="23" xfId="6" applyFont="1" applyFill="1" applyBorder="1" applyAlignment="1">
      <alignment horizontal="center" vertical="center" wrapText="1"/>
    </xf>
    <xf numFmtId="0" fontId="28" fillId="6" borderId="23" xfId="6" applyFont="1" applyFill="1" applyBorder="1" applyAlignment="1">
      <alignment horizontal="center" vertical="center"/>
    </xf>
    <xf numFmtId="0" fontId="28" fillId="6" borderId="42" xfId="6" applyFont="1" applyFill="1" applyBorder="1" applyAlignment="1">
      <alignment horizontal="center" vertical="center"/>
    </xf>
    <xf numFmtId="0" fontId="28" fillId="6" borderId="39" xfId="6" applyFont="1" applyFill="1" applyBorder="1" applyAlignment="1">
      <alignment horizontal="center" vertical="center"/>
    </xf>
    <xf numFmtId="0" fontId="28" fillId="6" borderId="43" xfId="6" applyFont="1" applyFill="1" applyBorder="1" applyAlignment="1">
      <alignment horizontal="center" vertical="center"/>
    </xf>
    <xf numFmtId="164" fontId="27" fillId="0" borderId="13" xfId="5" applyFont="1" applyFill="1" applyBorder="1" applyAlignment="1">
      <alignment horizontal="left" vertical="center"/>
    </xf>
    <xf numFmtId="0" fontId="43" fillId="0" borderId="27" xfId="6" applyFont="1" applyBorder="1" applyAlignment="1">
      <alignment horizontal="center" vertical="center"/>
    </xf>
    <xf numFmtId="0" fontId="43" fillId="0" borderId="28" xfId="6" applyFont="1" applyBorder="1" applyAlignment="1">
      <alignment horizontal="center" vertical="center"/>
    </xf>
    <xf numFmtId="1" fontId="28" fillId="5" borderId="28" xfId="5" applyNumberFormat="1" applyFont="1" applyFill="1" applyBorder="1" applyAlignment="1">
      <alignment horizontal="center" vertical="center"/>
    </xf>
    <xf numFmtId="171" fontId="27" fillId="0" borderId="24" xfId="0" applyNumberFormat="1" applyFont="1" applyBorder="1" applyAlignment="1">
      <alignment horizontal="right" vertical="center"/>
    </xf>
    <xf numFmtId="170" fontId="15" fillId="0" borderId="43" xfId="6" applyNumberFormat="1" applyFont="1" applyBorder="1" applyAlignment="1">
      <alignment horizontal="center" vertical="center"/>
    </xf>
    <xf numFmtId="0" fontId="15" fillId="0" borderId="0" xfId="6" applyFont="1" applyBorder="1" applyAlignment="1">
      <alignment horizontal="center" vertical="center"/>
    </xf>
    <xf numFmtId="0" fontId="15" fillId="0" borderId="9" xfId="6" applyFont="1" applyBorder="1" applyAlignment="1">
      <alignment horizontal="center" vertical="center"/>
    </xf>
    <xf numFmtId="0" fontId="15" fillId="0" borderId="10" xfId="6" applyFont="1" applyBorder="1" applyAlignment="1">
      <alignment horizontal="center" vertical="center"/>
    </xf>
    <xf numFmtId="180" fontId="28" fillId="0" borderId="21" xfId="7" applyNumberFormat="1" applyFont="1" applyBorder="1" applyAlignment="1">
      <alignment horizontal="center" vertical="center"/>
    </xf>
    <xf numFmtId="1" fontId="28" fillId="7" borderId="21" xfId="7" applyNumberFormat="1" applyFont="1" applyFill="1" applyBorder="1" applyAlignment="1">
      <alignment horizontal="center" vertical="center"/>
    </xf>
    <xf numFmtId="0" fontId="44" fillId="0" borderId="0" xfId="7" applyFont="1" applyAlignment="1">
      <alignment horizontal="center" vertical="center"/>
    </xf>
    <xf numFmtId="0" fontId="45" fillId="0" borderId="0" xfId="7" applyFont="1"/>
    <xf numFmtId="0" fontId="48" fillId="0" borderId="0" xfId="7" applyFont="1" applyAlignment="1">
      <alignment horizontal="center" vertical="center"/>
    </xf>
    <xf numFmtId="0" fontId="43" fillId="0" borderId="0" xfId="7" applyFont="1" applyAlignment="1">
      <alignment horizontal="center" vertical="center"/>
    </xf>
    <xf numFmtId="0" fontId="28" fillId="0" borderId="21" xfId="7" applyFont="1" applyBorder="1" applyAlignment="1">
      <alignment horizontal="center" vertical="center"/>
    </xf>
    <xf numFmtId="0" fontId="27" fillId="0" borderId="21" xfId="7" applyFont="1" applyBorder="1" applyAlignment="1">
      <alignment horizontal="center" vertical="center"/>
    </xf>
  </cellXfs>
  <cellStyles count="9">
    <cellStyle name="Bad" xfId="2" builtinId="27"/>
    <cellStyle name="Currency" xfId="1" builtinId="4"/>
    <cellStyle name="Normal" xfId="0" builtinId="0"/>
    <cellStyle name="Normal 2" xfId="3" xr:uid="{00000000-0005-0000-0000-000031000000}"/>
    <cellStyle name="Normal 3" xfId="4" xr:uid="{00000000-0005-0000-0000-000032000000}"/>
    <cellStyle name="Normal 4" xfId="7" xr:uid="{195C9F93-6280-46B7-A8AE-90DDC0D4BCD2}"/>
    <cellStyle name="Normal 4 2" xfId="8" xr:uid="{F5250D10-E879-4C8E-8C3D-668580F6BB1E}"/>
    <cellStyle name="쉼표 [0] 2" xfId="5" xr:uid="{00000000-0005-0000-0000-000033000000}"/>
    <cellStyle name="표준 2 2" xfId="6" xr:uid="{00000000-0005-0000-0000-000034000000}"/>
  </cellStyles>
  <dxfs count="0"/>
  <tableStyles count="0" defaultTableStyle="TableStyleMedium9" defaultPivotStyle="PivotStyleLight16"/>
  <colors>
    <mruColors>
      <color rgb="FF0000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469847</xdr:colOff>
      <xdr:row>165</xdr:row>
      <xdr:rowOff>129295</xdr:rowOff>
    </xdr:from>
    <xdr:to>
      <xdr:col>10</xdr:col>
      <xdr:colOff>1262531</xdr:colOff>
      <xdr:row>174</xdr:row>
      <xdr:rowOff>96380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8172023" y="10505942"/>
          <a:ext cx="3870567" cy="1909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366059</xdr:colOff>
      <xdr:row>164</xdr:row>
      <xdr:rowOff>298823</xdr:rowOff>
    </xdr:from>
    <xdr:to>
      <xdr:col>12</xdr:col>
      <xdr:colOff>381803</xdr:colOff>
      <xdr:row>173</xdr:row>
      <xdr:rowOff>50434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86B5BE-4822-49DD-A0E8-24B517626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9965765" y="38921764"/>
          <a:ext cx="3526919" cy="1746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171823</xdr:colOff>
      <xdr:row>164</xdr:row>
      <xdr:rowOff>104588</xdr:rowOff>
    </xdr:from>
    <xdr:to>
      <xdr:col>7</xdr:col>
      <xdr:colOff>180978</xdr:colOff>
      <xdr:row>175</xdr:row>
      <xdr:rowOff>107015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523E5-1AC8-4A1E-A3B2-F31AB7815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3458882" y="15015882"/>
          <a:ext cx="4043272" cy="19597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171823</xdr:colOff>
      <xdr:row>164</xdr:row>
      <xdr:rowOff>104588</xdr:rowOff>
    </xdr:from>
    <xdr:to>
      <xdr:col>7</xdr:col>
      <xdr:colOff>180978</xdr:colOff>
      <xdr:row>175</xdr:row>
      <xdr:rowOff>107015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99E858-2D0A-4338-AE93-A3F6C68A1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3454773" y="15027088"/>
          <a:ext cx="4047755" cy="19772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171823</xdr:colOff>
      <xdr:row>164</xdr:row>
      <xdr:rowOff>104588</xdr:rowOff>
    </xdr:from>
    <xdr:to>
      <xdr:col>7</xdr:col>
      <xdr:colOff>180978</xdr:colOff>
      <xdr:row>175</xdr:row>
      <xdr:rowOff>107015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D413FA-2E87-4460-B55B-6F392D363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3454773" y="15027088"/>
          <a:ext cx="4047755" cy="19772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118729</xdr:colOff>
      <xdr:row>165</xdr:row>
      <xdr:rowOff>129295</xdr:rowOff>
    </xdr:from>
    <xdr:to>
      <xdr:col>9</xdr:col>
      <xdr:colOff>1008531</xdr:colOff>
      <xdr:row>174</xdr:row>
      <xdr:rowOff>96380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4D217E-AC77-4757-9DCE-83077F978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7230729" y="10505942"/>
          <a:ext cx="3870567" cy="19094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1644403</xdr:colOff>
      <xdr:row>43</xdr:row>
      <xdr:rowOff>468695</xdr:rowOff>
    </xdr:from>
    <xdr:to>
      <xdr:col>9</xdr:col>
      <xdr:colOff>435430</xdr:colOff>
      <xdr:row>52</xdr:row>
      <xdr:rowOff>3916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855E56-644B-44F3-AED8-D689D2DE9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10053617" y="12170838"/>
          <a:ext cx="4170384" cy="2048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9"/>
  <sheetViews>
    <sheetView tabSelected="1" view="pageBreakPreview" zoomScale="85" zoomScaleNormal="55" zoomScaleSheetLayoutView="85" workbookViewId="0">
      <selection activeCell="B21" sqref="B21"/>
    </sheetView>
  </sheetViews>
  <sheetFormatPr defaultColWidth="9" defaultRowHeight="10.5" customHeight="1"/>
  <cols>
    <col min="1" max="1" width="13.33203125" style="7" customWidth="1"/>
    <col min="2" max="2" width="12.5" style="7" customWidth="1"/>
    <col min="3" max="3" width="20.58203125" style="7" customWidth="1"/>
    <col min="4" max="4" width="21.58203125" style="7" customWidth="1"/>
    <col min="5" max="5" width="25.33203125" style="7" customWidth="1"/>
    <col min="6" max="6" width="12.75" style="90" customWidth="1"/>
    <col min="7" max="8" width="6.1640625" style="7" customWidth="1"/>
    <col min="9" max="9" width="14" style="7" customWidth="1"/>
    <col min="10" max="10" width="14" style="8" customWidth="1"/>
    <col min="11" max="12" width="25.58203125" style="7" customWidth="1"/>
    <col min="13" max="13" width="25.58203125" style="9" customWidth="1"/>
    <col min="14" max="15" width="21.33203125" style="9" customWidth="1"/>
    <col min="16" max="16" width="22.33203125" style="10" customWidth="1"/>
    <col min="17" max="17" width="10.33203125" style="11" customWidth="1"/>
    <col min="18" max="19" width="12.5" style="7" customWidth="1"/>
    <col min="20" max="16384" width="9" style="7"/>
  </cols>
  <sheetData>
    <row r="1" spans="1:17" s="4" customFormat="1" ht="24.75" customHeight="1">
      <c r="A1" s="417" t="s">
        <v>0</v>
      </c>
      <c r="B1" s="417"/>
      <c r="C1" s="417"/>
      <c r="D1" s="417"/>
      <c r="E1" s="417"/>
      <c r="F1" s="418"/>
      <c r="G1" s="417"/>
      <c r="H1" s="417"/>
      <c r="I1" s="417"/>
      <c r="J1" s="417"/>
      <c r="K1" s="417"/>
      <c r="L1" s="417"/>
      <c r="M1" s="417"/>
      <c r="N1" s="225"/>
      <c r="O1" s="371"/>
      <c r="P1" s="56"/>
      <c r="Q1" s="56"/>
    </row>
    <row r="2" spans="1:17" ht="15.75" customHeight="1">
      <c r="A2" s="419" t="s">
        <v>1</v>
      </c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226"/>
      <c r="O2" s="372"/>
      <c r="P2" s="11"/>
    </row>
    <row r="3" spans="1:17" s="5" customFormat="1" ht="15.75" customHeight="1">
      <c r="A3" s="420" t="s">
        <v>2</v>
      </c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227"/>
      <c r="O3" s="373"/>
      <c r="P3" s="11"/>
      <c r="Q3" s="57"/>
    </row>
    <row r="4" spans="1:17" s="6" customFormat="1" ht="13" customHeight="1">
      <c r="A4" s="14" t="s">
        <v>3</v>
      </c>
      <c r="B4" s="15" t="s">
        <v>4</v>
      </c>
      <c r="C4" s="15"/>
      <c r="D4" s="16"/>
      <c r="E4" s="16"/>
      <c r="F4" s="16"/>
      <c r="G4" s="16"/>
      <c r="H4" s="17"/>
      <c r="I4" s="18" t="s">
        <v>5</v>
      </c>
      <c r="J4" s="19"/>
      <c r="K4" s="37"/>
      <c r="L4" s="384"/>
      <c r="M4" s="35"/>
      <c r="N4" s="206"/>
      <c r="O4" s="206"/>
      <c r="P4" s="11"/>
      <c r="Q4" s="58"/>
    </row>
    <row r="5" spans="1:17" s="6" customFormat="1" ht="13" customHeight="1">
      <c r="A5" s="20"/>
      <c r="B5" s="206" t="s">
        <v>6</v>
      </c>
      <c r="C5" s="206"/>
      <c r="D5" s="206"/>
      <c r="E5" s="206"/>
      <c r="F5" s="206"/>
      <c r="G5" s="206"/>
      <c r="H5" s="22"/>
      <c r="I5" s="18" t="s">
        <v>7</v>
      </c>
      <c r="J5" s="19"/>
      <c r="K5" s="37"/>
      <c r="L5" s="37"/>
      <c r="M5" s="35"/>
      <c r="N5" s="206"/>
      <c r="O5" s="206"/>
      <c r="P5" s="58"/>
      <c r="Q5" s="58"/>
    </row>
    <row r="6" spans="1:17" s="6" customFormat="1" ht="13" customHeight="1">
      <c r="A6" s="20"/>
      <c r="B6" s="206" t="s">
        <v>8</v>
      </c>
      <c r="C6" s="206"/>
      <c r="D6" s="206"/>
      <c r="E6" s="206"/>
      <c r="F6" s="206"/>
      <c r="G6" s="206"/>
      <c r="H6" s="22"/>
      <c r="I6" s="20" t="s">
        <v>142</v>
      </c>
      <c r="J6" s="23"/>
      <c r="K6" s="15"/>
      <c r="L6" s="16"/>
      <c r="M6" s="421" t="s">
        <v>118</v>
      </c>
      <c r="N6" s="350"/>
      <c r="O6" s="350"/>
      <c r="P6" s="58"/>
      <c r="Q6" s="58"/>
    </row>
    <row r="7" spans="1:17" s="6" customFormat="1" ht="13" customHeight="1">
      <c r="A7" s="20"/>
      <c r="B7" s="206" t="s">
        <v>9</v>
      </c>
      <c r="C7" s="206"/>
      <c r="D7" s="206"/>
      <c r="E7" s="206"/>
      <c r="F7" s="206"/>
      <c r="G7" s="206"/>
      <c r="H7" s="22"/>
      <c r="I7" s="20"/>
      <c r="J7" s="210"/>
      <c r="K7" s="214"/>
      <c r="L7" s="212"/>
      <c r="M7" s="422"/>
      <c r="N7" s="350"/>
      <c r="O7" s="350"/>
      <c r="P7" s="58"/>
      <c r="Q7" s="58"/>
    </row>
    <row r="8" spans="1:17" s="6" customFormat="1" ht="13" customHeight="1">
      <c r="A8" s="25"/>
      <c r="B8" s="26" t="s">
        <v>10</v>
      </c>
      <c r="C8" s="26"/>
      <c r="D8" s="26"/>
      <c r="E8" s="26"/>
      <c r="F8" s="26"/>
      <c r="G8" s="26"/>
      <c r="H8" s="27"/>
      <c r="I8" s="20"/>
      <c r="J8" s="212"/>
      <c r="K8" s="214"/>
      <c r="L8" s="212"/>
      <c r="M8" s="422"/>
      <c r="N8" s="350"/>
      <c r="O8" s="350"/>
      <c r="P8" s="58"/>
      <c r="Q8" s="58"/>
    </row>
    <row r="9" spans="1:17" s="6" customFormat="1" ht="13" customHeight="1">
      <c r="A9" s="14" t="s">
        <v>11</v>
      </c>
      <c r="B9" s="15"/>
      <c r="C9" s="15"/>
      <c r="D9" s="29"/>
      <c r="E9" s="29"/>
      <c r="F9" s="29"/>
      <c r="G9" s="29"/>
      <c r="H9" s="17"/>
      <c r="I9" s="20"/>
      <c r="J9" s="213"/>
      <c r="K9" s="214"/>
      <c r="L9" s="213"/>
      <c r="M9" s="422"/>
      <c r="N9" s="350"/>
      <c r="O9" s="350"/>
      <c r="P9" s="58"/>
      <c r="Q9" s="58"/>
    </row>
    <row r="10" spans="1:17" s="6" customFormat="1" ht="13" customHeight="1">
      <c r="A10" s="20"/>
      <c r="B10" s="214"/>
      <c r="C10" s="206"/>
      <c r="D10" s="214"/>
      <c r="E10" s="214"/>
      <c r="F10" s="214"/>
      <c r="G10" s="214"/>
      <c r="H10" s="22"/>
      <c r="I10" s="20"/>
      <c r="J10" s="213"/>
      <c r="K10" s="214"/>
      <c r="L10" s="213"/>
      <c r="M10" s="215"/>
      <c r="N10" s="210"/>
      <c r="O10" s="210"/>
      <c r="P10" s="58"/>
      <c r="Q10" s="58"/>
    </row>
    <row r="11" spans="1:17" s="6" customFormat="1" ht="13" customHeight="1">
      <c r="A11" s="20"/>
      <c r="B11" s="214"/>
      <c r="C11" s="206"/>
      <c r="D11" s="214"/>
      <c r="E11" s="214"/>
      <c r="F11" s="214"/>
      <c r="G11" s="214"/>
      <c r="H11" s="22"/>
      <c r="I11" s="20"/>
      <c r="J11" s="211"/>
      <c r="K11" s="32"/>
      <c r="L11" s="125"/>
      <c r="M11" s="126"/>
      <c r="N11" s="351"/>
      <c r="O11" s="351"/>
      <c r="P11" s="58"/>
      <c r="Q11" s="58"/>
    </row>
    <row r="12" spans="1:17" s="6" customFormat="1" ht="13" customHeight="1">
      <c r="A12" s="20"/>
      <c r="B12" s="214"/>
      <c r="C12" s="206"/>
      <c r="D12" s="214"/>
      <c r="E12" s="214"/>
      <c r="F12" s="214"/>
      <c r="G12" s="214"/>
      <c r="H12" s="22"/>
      <c r="I12" s="18" t="s">
        <v>12</v>
      </c>
      <c r="J12" s="31"/>
      <c r="K12" s="59"/>
      <c r="L12" s="37"/>
      <c r="M12" s="35"/>
      <c r="N12" s="206"/>
      <c r="O12" s="206"/>
      <c r="P12" s="60"/>
      <c r="Q12" s="58"/>
    </row>
    <row r="13" spans="1:17" s="6" customFormat="1" ht="13" customHeight="1">
      <c r="A13" s="20"/>
      <c r="B13" s="214"/>
      <c r="C13" s="206"/>
      <c r="D13" s="214"/>
      <c r="E13" s="214"/>
      <c r="F13" s="214"/>
      <c r="G13" s="214"/>
      <c r="H13" s="22"/>
      <c r="I13" s="14" t="s">
        <v>13</v>
      </c>
      <c r="J13" s="23"/>
      <c r="K13" s="29" t="s">
        <v>14</v>
      </c>
      <c r="L13" s="16" t="s">
        <v>15</v>
      </c>
      <c r="M13" s="17"/>
      <c r="N13" s="206"/>
      <c r="O13" s="206"/>
      <c r="P13" s="60"/>
      <c r="Q13" s="61"/>
    </row>
    <row r="14" spans="1:17" s="6" customFormat="1" ht="13" customHeight="1">
      <c r="A14" s="25"/>
      <c r="B14" s="32"/>
      <c r="C14" s="32"/>
      <c r="D14" s="26"/>
      <c r="E14" s="26"/>
      <c r="F14" s="26"/>
      <c r="G14" s="26"/>
      <c r="H14" s="27"/>
      <c r="I14" s="20"/>
      <c r="J14" s="211"/>
      <c r="K14" s="206" t="s">
        <v>16</v>
      </c>
      <c r="L14" s="206"/>
      <c r="M14" s="22"/>
      <c r="N14" s="206"/>
      <c r="O14" s="206"/>
      <c r="P14" s="60"/>
      <c r="Q14" s="61"/>
    </row>
    <row r="15" spans="1:17" s="6" customFormat="1" ht="13" customHeight="1">
      <c r="A15" s="33" t="s">
        <v>17</v>
      </c>
      <c r="B15" s="122"/>
      <c r="C15" s="86"/>
      <c r="D15" s="34" t="s">
        <v>18</v>
      </c>
      <c r="E15" s="34"/>
      <c r="F15" s="34"/>
      <c r="G15" s="34"/>
      <c r="H15" s="35"/>
      <c r="I15" s="20"/>
      <c r="J15" s="216"/>
      <c r="K15" s="206" t="s">
        <v>19</v>
      </c>
      <c r="L15" s="217"/>
      <c r="M15" s="22"/>
      <c r="N15" s="206"/>
      <c r="O15" s="206"/>
      <c r="P15" s="60"/>
      <c r="Q15" s="61"/>
    </row>
    <row r="16" spans="1:17" s="6" customFormat="1" ht="13" customHeight="1">
      <c r="A16" s="18" t="s">
        <v>20</v>
      </c>
      <c r="B16" s="59"/>
      <c r="C16" s="210"/>
      <c r="D16" s="37" t="s">
        <v>21</v>
      </c>
      <c r="E16" s="37"/>
      <c r="F16" s="37"/>
      <c r="G16" s="37"/>
      <c r="H16" s="35"/>
      <c r="I16" s="25"/>
      <c r="J16" s="26"/>
      <c r="K16" s="26" t="s">
        <v>22</v>
      </c>
      <c r="L16" s="91">
        <v>1</v>
      </c>
      <c r="M16" s="27"/>
      <c r="N16" s="206"/>
      <c r="O16" s="206"/>
      <c r="P16" s="61"/>
      <c r="Q16" s="58"/>
    </row>
    <row r="17" spans="1:19" s="6" customFormat="1" ht="13" customHeight="1">
      <c r="A17" s="38" t="s">
        <v>169</v>
      </c>
      <c r="B17" s="399"/>
      <c r="C17" s="37"/>
      <c r="D17" s="37"/>
      <c r="E17" s="37"/>
      <c r="F17" s="37"/>
      <c r="G17" s="37"/>
      <c r="H17" s="35"/>
      <c r="I17" s="18" t="s">
        <v>24</v>
      </c>
      <c r="J17" s="19"/>
      <c r="K17" s="59" t="s">
        <v>25</v>
      </c>
      <c r="L17" s="37"/>
      <c r="M17" s="35"/>
      <c r="N17" s="206"/>
      <c r="O17" s="206"/>
      <c r="P17" s="58"/>
      <c r="Q17" s="58"/>
    </row>
    <row r="18" spans="1:19" s="6" customFormat="1" ht="15" customHeight="1">
      <c r="A18" s="39"/>
      <c r="B18" s="21"/>
      <c r="C18" s="21"/>
      <c r="D18" s="21"/>
      <c r="E18" s="21"/>
      <c r="F18" s="21"/>
      <c r="G18" s="21"/>
      <c r="H18" s="24"/>
      <c r="I18" s="30"/>
      <c r="J18" s="21"/>
      <c r="K18" s="30"/>
      <c r="L18" s="30"/>
      <c r="M18" s="21"/>
      <c r="N18" s="21"/>
      <c r="O18" s="21"/>
      <c r="P18" s="58"/>
      <c r="Q18" s="58"/>
    </row>
    <row r="19" spans="1:19" s="6" customFormat="1" ht="25.5" customHeight="1" thickBot="1">
      <c r="A19" s="30"/>
      <c r="B19" s="40" t="s">
        <v>26</v>
      </c>
      <c r="C19" s="21"/>
      <c r="D19" s="41"/>
      <c r="E19" s="21"/>
      <c r="F19" s="21"/>
      <c r="G19" s="21"/>
      <c r="H19" s="21"/>
      <c r="I19" s="63"/>
      <c r="J19" s="13"/>
      <c r="K19" s="64"/>
      <c r="L19" s="64"/>
      <c r="M19" s="65"/>
      <c r="N19" s="65"/>
      <c r="O19" s="65"/>
      <c r="P19" s="66"/>
      <c r="Q19" s="58"/>
    </row>
    <row r="20" spans="1:19" s="6" customFormat="1" ht="50" customHeight="1">
      <c r="A20" s="42"/>
      <c r="B20" s="43" t="s">
        <v>27</v>
      </c>
      <c r="C20" s="44" t="s">
        <v>28</v>
      </c>
      <c r="D20" s="44" t="s">
        <v>29</v>
      </c>
      <c r="E20" s="45" t="s">
        <v>30</v>
      </c>
      <c r="F20" s="45" t="s">
        <v>31</v>
      </c>
      <c r="G20" s="414" t="s">
        <v>32</v>
      </c>
      <c r="H20" s="414"/>
      <c r="I20" s="45" t="s">
        <v>33</v>
      </c>
      <c r="J20" s="67" t="s">
        <v>34</v>
      </c>
      <c r="K20" s="92" t="s">
        <v>35</v>
      </c>
      <c r="L20" s="92" t="s">
        <v>36</v>
      </c>
      <c r="M20" s="93" t="s">
        <v>37</v>
      </c>
      <c r="N20" s="388" t="s">
        <v>166</v>
      </c>
      <c r="O20" s="92" t="s">
        <v>170</v>
      </c>
      <c r="P20" s="385" t="s">
        <v>120</v>
      </c>
      <c r="Q20" s="58"/>
      <c r="R20" s="364" t="s">
        <v>167</v>
      </c>
      <c r="S20" s="364" t="s">
        <v>33</v>
      </c>
    </row>
    <row r="21" spans="1:19" s="6" customFormat="1" ht="18" customHeight="1">
      <c r="A21" s="30"/>
      <c r="B21" s="46">
        <v>1</v>
      </c>
      <c r="C21" s="94" t="e">
        <f>CONCATENATE("MFGG-",MID(E21,1,3),MID(E21,10,1),"-IDD")</f>
        <v>#N/A</v>
      </c>
      <c r="D21" s="47" t="e">
        <f>VLOOKUP(F21,Sheet2!$A$2:$D$31,4,0)</f>
        <v>#N/A</v>
      </c>
      <c r="E21" s="48" t="e">
        <f>VLOOKUP(F21,Sheet2!$A$2:$D$31,2,0)</f>
        <v>#N/A</v>
      </c>
      <c r="F21" s="48"/>
      <c r="G21" s="49"/>
      <c r="H21" s="223" t="e">
        <f>VLOOKUP(F21,Sheet2!$A$2:$D$31,3,0)</f>
        <v>#N/A</v>
      </c>
      <c r="I21" s="68"/>
      <c r="J21" s="95" t="e">
        <f>ROUND((I21/$I$164)*$J$164,2)</f>
        <v>#DIV/0!</v>
      </c>
      <c r="K21" s="96" t="e">
        <f>L21/G21</f>
        <v>#DIV/0!</v>
      </c>
      <c r="L21" s="97"/>
      <c r="M21" s="70"/>
      <c r="N21" s="389"/>
      <c r="O21" s="96"/>
      <c r="P21" s="386"/>
      <c r="Q21" s="58"/>
      <c r="R21" s="365">
        <f>L21</f>
        <v>0</v>
      </c>
      <c r="S21" s="365">
        <f>I21</f>
        <v>0</v>
      </c>
    </row>
    <row r="22" spans="1:19" s="6" customFormat="1" ht="18" customHeight="1">
      <c r="A22" s="30"/>
      <c r="B22" s="46">
        <v>2</v>
      </c>
      <c r="C22" s="94" t="e">
        <f t="shared" ref="C22:C40" si="0">CONCATENATE("MFGG-",MID(E22,1,3),MID(E22,10,1),"-IDD")</f>
        <v>#N/A</v>
      </c>
      <c r="D22" s="47" t="e">
        <f>VLOOKUP(F22,Sheet2!$A$2:$D$31,4,0)</f>
        <v>#N/A</v>
      </c>
      <c r="E22" s="48" t="e">
        <f>VLOOKUP(F22,Sheet2!$A$2:$D$31,2,0)</f>
        <v>#N/A</v>
      </c>
      <c r="F22" s="48"/>
      <c r="G22" s="49"/>
      <c r="H22" s="223" t="e">
        <f>VLOOKUP(F22,Sheet2!$A$2:$D$31,3,0)</f>
        <v>#N/A</v>
      </c>
      <c r="I22" s="68"/>
      <c r="J22" s="95"/>
      <c r="K22" s="96" t="e">
        <f t="shared" ref="K22:K40" si="1">L22/G22</f>
        <v>#DIV/0!</v>
      </c>
      <c r="L22" s="97"/>
      <c r="M22" s="70"/>
      <c r="N22" s="389"/>
      <c r="O22" s="96"/>
      <c r="P22" s="386"/>
      <c r="Q22" s="58"/>
      <c r="R22" s="365">
        <f>L22</f>
        <v>0</v>
      </c>
      <c r="S22" s="365">
        <f t="shared" ref="S22:S39" si="2">I22</f>
        <v>0</v>
      </c>
    </row>
    <row r="23" spans="1:19" s="6" customFormat="1" ht="18" customHeight="1">
      <c r="A23" s="30"/>
      <c r="B23" s="46">
        <v>3</v>
      </c>
      <c r="C23" s="94" t="e">
        <f t="shared" si="0"/>
        <v>#N/A</v>
      </c>
      <c r="D23" s="47" t="e">
        <f>VLOOKUP(F23,Sheet2!$A$2:$D$31,4,0)</f>
        <v>#N/A</v>
      </c>
      <c r="E23" s="48" t="e">
        <f>VLOOKUP(F23,Sheet2!$A$2:$D$31,2,0)</f>
        <v>#N/A</v>
      </c>
      <c r="F23" s="48"/>
      <c r="G23" s="49"/>
      <c r="H23" s="223" t="e">
        <f>VLOOKUP(F23,Sheet2!$A$2:$D$31,3,0)</f>
        <v>#N/A</v>
      </c>
      <c r="I23" s="68"/>
      <c r="J23" s="69"/>
      <c r="K23" s="96" t="e">
        <f t="shared" si="1"/>
        <v>#DIV/0!</v>
      </c>
      <c r="L23" s="98"/>
      <c r="M23" s="70"/>
      <c r="N23" s="389"/>
      <c r="O23" s="96"/>
      <c r="P23" s="386"/>
      <c r="Q23" s="58"/>
      <c r="R23" s="365">
        <f t="shared" ref="R23:R39" si="3">L23</f>
        <v>0</v>
      </c>
      <c r="S23" s="365">
        <f t="shared" si="2"/>
        <v>0</v>
      </c>
    </row>
    <row r="24" spans="1:19" s="6" customFormat="1" ht="18" customHeight="1">
      <c r="A24" s="30"/>
      <c r="B24" s="46">
        <v>4</v>
      </c>
      <c r="C24" s="94" t="e">
        <f t="shared" si="0"/>
        <v>#N/A</v>
      </c>
      <c r="D24" s="47" t="e">
        <f>VLOOKUP(F24,Sheet2!$A$2:$D$31,4,0)</f>
        <v>#N/A</v>
      </c>
      <c r="E24" s="48" t="e">
        <f>VLOOKUP(F24,Sheet2!$A$2:$D$31,2,0)</f>
        <v>#N/A</v>
      </c>
      <c r="F24" s="48"/>
      <c r="G24" s="49"/>
      <c r="H24" s="223" t="e">
        <f>VLOOKUP(F24,Sheet2!$A$2:$D$31,3,0)</f>
        <v>#N/A</v>
      </c>
      <c r="I24" s="68"/>
      <c r="J24" s="69"/>
      <c r="K24" s="96" t="e">
        <f t="shared" si="1"/>
        <v>#DIV/0!</v>
      </c>
      <c r="L24" s="98"/>
      <c r="M24" s="70"/>
      <c r="N24" s="389"/>
      <c r="O24" s="96"/>
      <c r="P24" s="386"/>
      <c r="Q24" s="58"/>
      <c r="R24" s="365">
        <f t="shared" si="3"/>
        <v>0</v>
      </c>
      <c r="S24" s="365">
        <f t="shared" si="2"/>
        <v>0</v>
      </c>
    </row>
    <row r="25" spans="1:19" s="6" customFormat="1" ht="18" customHeight="1">
      <c r="A25" s="30"/>
      <c r="B25" s="46">
        <v>5</v>
      </c>
      <c r="C25" s="94" t="e">
        <f t="shared" si="0"/>
        <v>#N/A</v>
      </c>
      <c r="D25" s="47" t="e">
        <f>VLOOKUP(F25,Sheet2!$A$2:$D$31,4,0)</f>
        <v>#N/A</v>
      </c>
      <c r="E25" s="48" t="e">
        <f>VLOOKUP(F25,Sheet2!$A$2:$D$31,2,0)</f>
        <v>#N/A</v>
      </c>
      <c r="F25" s="48"/>
      <c r="G25" s="49"/>
      <c r="H25" s="223" t="e">
        <f>VLOOKUP(F25,Sheet2!$A$2:$D$31,3,0)</f>
        <v>#N/A</v>
      </c>
      <c r="I25" s="68"/>
      <c r="J25" s="95"/>
      <c r="K25" s="96" t="e">
        <f t="shared" si="1"/>
        <v>#DIV/0!</v>
      </c>
      <c r="L25" s="97"/>
      <c r="M25" s="70"/>
      <c r="N25" s="389"/>
      <c r="O25" s="96"/>
      <c r="P25" s="386"/>
      <c r="Q25" s="58"/>
      <c r="R25" s="365">
        <f t="shared" si="3"/>
        <v>0</v>
      </c>
      <c r="S25" s="365">
        <f t="shared" si="2"/>
        <v>0</v>
      </c>
    </row>
    <row r="26" spans="1:19" s="6" customFormat="1" ht="18" customHeight="1">
      <c r="A26" s="30"/>
      <c r="B26" s="46">
        <v>6</v>
      </c>
      <c r="C26" s="94" t="e">
        <f t="shared" si="0"/>
        <v>#N/A</v>
      </c>
      <c r="D26" s="47" t="e">
        <f>VLOOKUP(F26,Sheet2!$A$2:$D$31,4,0)</f>
        <v>#N/A</v>
      </c>
      <c r="E26" s="48" t="e">
        <f>VLOOKUP(F26,Sheet2!$A$2:$D$31,2,0)</f>
        <v>#N/A</v>
      </c>
      <c r="F26" s="48"/>
      <c r="G26" s="49"/>
      <c r="H26" s="223" t="e">
        <f>VLOOKUP(F26,Sheet2!$A$2:$D$31,3,0)</f>
        <v>#N/A</v>
      </c>
      <c r="I26" s="68"/>
      <c r="J26" s="95"/>
      <c r="K26" s="96" t="e">
        <f t="shared" si="1"/>
        <v>#DIV/0!</v>
      </c>
      <c r="L26" s="97"/>
      <c r="M26" s="70"/>
      <c r="N26" s="389"/>
      <c r="O26" s="96"/>
      <c r="P26" s="386"/>
      <c r="Q26" s="58"/>
      <c r="R26" s="365">
        <f t="shared" si="3"/>
        <v>0</v>
      </c>
      <c r="S26" s="365">
        <f t="shared" si="2"/>
        <v>0</v>
      </c>
    </row>
    <row r="27" spans="1:19" s="6" customFormat="1" ht="18" customHeight="1">
      <c r="A27" s="30"/>
      <c r="B27" s="46">
        <v>7</v>
      </c>
      <c r="C27" s="94" t="e">
        <f t="shared" si="0"/>
        <v>#N/A</v>
      </c>
      <c r="D27" s="47" t="e">
        <f>VLOOKUP(F27,Sheet2!$A$2:$D$31,4,0)</f>
        <v>#N/A</v>
      </c>
      <c r="E27" s="48" t="e">
        <f>VLOOKUP(F27,Sheet2!$A$2:$D$31,2,0)</f>
        <v>#N/A</v>
      </c>
      <c r="F27" s="48"/>
      <c r="G27" s="49"/>
      <c r="H27" s="223" t="e">
        <f>VLOOKUP(F27,Sheet2!$A$2:$D$31,3,0)</f>
        <v>#N/A</v>
      </c>
      <c r="I27" s="68"/>
      <c r="J27" s="95"/>
      <c r="K27" s="96" t="e">
        <f t="shared" si="1"/>
        <v>#DIV/0!</v>
      </c>
      <c r="L27" s="97"/>
      <c r="M27" s="70"/>
      <c r="N27" s="389"/>
      <c r="O27" s="96"/>
      <c r="P27" s="386"/>
      <c r="Q27" s="58"/>
      <c r="R27" s="365">
        <f t="shared" si="3"/>
        <v>0</v>
      </c>
      <c r="S27" s="365">
        <f t="shared" si="2"/>
        <v>0</v>
      </c>
    </row>
    <row r="28" spans="1:19" s="6" customFormat="1" ht="18" customHeight="1">
      <c r="A28" s="30"/>
      <c r="B28" s="46">
        <v>8</v>
      </c>
      <c r="C28" s="94" t="e">
        <f t="shared" si="0"/>
        <v>#N/A</v>
      </c>
      <c r="D28" s="47" t="e">
        <f>VLOOKUP(F28,Sheet2!$A$2:$D$31,4,0)</f>
        <v>#N/A</v>
      </c>
      <c r="E28" s="48" t="e">
        <f>VLOOKUP(F28,Sheet2!$A$2:$D$31,2,0)</f>
        <v>#N/A</v>
      </c>
      <c r="F28" s="48"/>
      <c r="G28" s="49"/>
      <c r="H28" s="224" t="e">
        <f>VLOOKUP(F28,Sheet2!$A$2:$D$31,3,0)</f>
        <v>#N/A</v>
      </c>
      <c r="I28" s="68"/>
      <c r="J28" s="95"/>
      <c r="K28" s="96" t="e">
        <f t="shared" si="1"/>
        <v>#DIV/0!</v>
      </c>
      <c r="L28" s="97"/>
      <c r="M28" s="70"/>
      <c r="N28" s="389"/>
      <c r="O28" s="96"/>
      <c r="P28" s="386"/>
      <c r="Q28" s="58"/>
      <c r="R28" s="365">
        <f t="shared" si="3"/>
        <v>0</v>
      </c>
      <c r="S28" s="365">
        <f t="shared" si="2"/>
        <v>0</v>
      </c>
    </row>
    <row r="29" spans="1:19" s="6" customFormat="1" ht="18" customHeight="1">
      <c r="A29" s="30"/>
      <c r="B29" s="46">
        <v>9</v>
      </c>
      <c r="C29" s="94" t="e">
        <f t="shared" si="0"/>
        <v>#N/A</v>
      </c>
      <c r="D29" s="47" t="e">
        <f>VLOOKUP(F29,Sheet2!$A$2:$D$31,4,0)</f>
        <v>#N/A</v>
      </c>
      <c r="E29" s="48" t="e">
        <f>VLOOKUP(F29,Sheet2!$A$2:$D$31,2,0)</f>
        <v>#N/A</v>
      </c>
      <c r="F29" s="48"/>
      <c r="G29" s="49"/>
      <c r="H29" s="223" t="e">
        <f>VLOOKUP(F29,Sheet2!$A$2:$D$31,3,0)</f>
        <v>#N/A</v>
      </c>
      <c r="I29" s="68"/>
      <c r="J29" s="69"/>
      <c r="K29" s="96" t="e">
        <f t="shared" si="1"/>
        <v>#DIV/0!</v>
      </c>
      <c r="L29" s="98"/>
      <c r="M29" s="70"/>
      <c r="N29" s="389"/>
      <c r="O29" s="96"/>
      <c r="P29" s="386"/>
      <c r="Q29" s="58"/>
      <c r="R29" s="365">
        <f t="shared" si="3"/>
        <v>0</v>
      </c>
      <c r="S29" s="365">
        <f t="shared" si="2"/>
        <v>0</v>
      </c>
    </row>
    <row r="30" spans="1:19" s="6" customFormat="1" ht="18" customHeight="1">
      <c r="A30" s="30"/>
      <c r="B30" s="46">
        <v>10</v>
      </c>
      <c r="C30" s="94" t="e">
        <f t="shared" si="0"/>
        <v>#N/A</v>
      </c>
      <c r="D30" s="47" t="e">
        <f>VLOOKUP(F30,Sheet2!$A$2:$D$31,4,0)</f>
        <v>#N/A</v>
      </c>
      <c r="E30" s="48" t="e">
        <f>VLOOKUP(F30,Sheet2!$A$2:$D$31,2,0)</f>
        <v>#N/A</v>
      </c>
      <c r="F30" s="48" t="s">
        <v>137</v>
      </c>
      <c r="G30" s="49"/>
      <c r="H30" s="223" t="e">
        <f>VLOOKUP(F30,Sheet2!$A$2:$D$31,3,0)</f>
        <v>#N/A</v>
      </c>
      <c r="I30" s="68"/>
      <c r="J30" s="69"/>
      <c r="K30" s="96" t="e">
        <f t="shared" si="1"/>
        <v>#DIV/0!</v>
      </c>
      <c r="L30" s="98"/>
      <c r="M30" s="70"/>
      <c r="N30" s="389"/>
      <c r="O30" s="96"/>
      <c r="P30" s="386"/>
      <c r="Q30" s="58"/>
      <c r="R30" s="365">
        <f t="shared" si="3"/>
        <v>0</v>
      </c>
      <c r="S30" s="365">
        <f t="shared" si="2"/>
        <v>0</v>
      </c>
    </row>
    <row r="31" spans="1:19" s="6" customFormat="1" ht="18" customHeight="1">
      <c r="A31" s="30"/>
      <c r="B31" s="46">
        <v>11</v>
      </c>
      <c r="C31" s="94" t="e">
        <f t="shared" si="0"/>
        <v>#N/A</v>
      </c>
      <c r="D31" s="47" t="e">
        <f>VLOOKUP(F31,Sheet2!$A$2:$D$31,4,0)</f>
        <v>#N/A</v>
      </c>
      <c r="E31" s="48" t="e">
        <f>VLOOKUP(F31,Sheet2!$A$2:$D$31,2,0)</f>
        <v>#N/A</v>
      </c>
      <c r="F31" s="48" t="s">
        <v>137</v>
      </c>
      <c r="G31" s="49"/>
      <c r="H31" s="223" t="e">
        <f>VLOOKUP(F31,Sheet2!$A$2:$D$31,3,0)</f>
        <v>#N/A</v>
      </c>
      <c r="I31" s="68"/>
      <c r="J31" s="95"/>
      <c r="K31" s="96" t="e">
        <f t="shared" si="1"/>
        <v>#DIV/0!</v>
      </c>
      <c r="L31" s="97"/>
      <c r="M31" s="70"/>
      <c r="N31" s="389"/>
      <c r="O31" s="96"/>
      <c r="P31" s="386"/>
      <c r="Q31" s="58"/>
      <c r="R31" s="365">
        <f t="shared" si="3"/>
        <v>0</v>
      </c>
      <c r="S31" s="365">
        <f t="shared" si="2"/>
        <v>0</v>
      </c>
    </row>
    <row r="32" spans="1:19" s="6" customFormat="1" ht="18" customHeight="1">
      <c r="A32" s="30"/>
      <c r="B32" s="46">
        <v>12</v>
      </c>
      <c r="C32" s="94" t="e">
        <f t="shared" si="0"/>
        <v>#N/A</v>
      </c>
      <c r="D32" s="47" t="e">
        <f>VLOOKUP(F32,Sheet2!$A$2:$D$31,4,0)</f>
        <v>#N/A</v>
      </c>
      <c r="E32" s="48" t="e">
        <f>VLOOKUP(F32,Sheet2!$A$2:$D$31,2,0)</f>
        <v>#N/A</v>
      </c>
      <c r="F32" s="48" t="s">
        <v>137</v>
      </c>
      <c r="G32" s="49"/>
      <c r="H32" s="223" t="e">
        <f>VLOOKUP(F32,Sheet2!$A$2:$D$31,3,0)</f>
        <v>#N/A</v>
      </c>
      <c r="I32" s="68"/>
      <c r="J32" s="95"/>
      <c r="K32" s="96" t="e">
        <f t="shared" si="1"/>
        <v>#DIV/0!</v>
      </c>
      <c r="L32" s="97"/>
      <c r="M32" s="70"/>
      <c r="N32" s="389"/>
      <c r="O32" s="96"/>
      <c r="P32" s="386"/>
      <c r="Q32" s="58"/>
      <c r="R32" s="365">
        <f t="shared" si="3"/>
        <v>0</v>
      </c>
      <c r="S32" s="365">
        <f t="shared" si="2"/>
        <v>0</v>
      </c>
    </row>
    <row r="33" spans="1:19" s="6" customFormat="1" ht="18" customHeight="1">
      <c r="A33" s="30"/>
      <c r="B33" s="46">
        <v>13</v>
      </c>
      <c r="C33" s="94" t="e">
        <f t="shared" si="0"/>
        <v>#N/A</v>
      </c>
      <c r="D33" s="47" t="e">
        <f>VLOOKUP(F33,Sheet2!$A$2:$D$31,4,0)</f>
        <v>#N/A</v>
      </c>
      <c r="E33" s="48" t="e">
        <f>VLOOKUP(F33,Sheet2!$A$2:$D$31,2,0)</f>
        <v>#N/A</v>
      </c>
      <c r="F33" s="48" t="s">
        <v>137</v>
      </c>
      <c r="G33" s="49"/>
      <c r="H33" s="223" t="e">
        <f>VLOOKUP(F33,Sheet2!$A$2:$D$31,3,0)</f>
        <v>#N/A</v>
      </c>
      <c r="I33" s="68"/>
      <c r="J33" s="95"/>
      <c r="K33" s="96" t="e">
        <f t="shared" si="1"/>
        <v>#DIV/0!</v>
      </c>
      <c r="L33" s="97"/>
      <c r="M33" s="70"/>
      <c r="N33" s="389"/>
      <c r="O33" s="96"/>
      <c r="P33" s="386"/>
      <c r="Q33" s="58"/>
      <c r="R33" s="365">
        <f t="shared" si="3"/>
        <v>0</v>
      </c>
      <c r="S33" s="365">
        <f t="shared" si="2"/>
        <v>0</v>
      </c>
    </row>
    <row r="34" spans="1:19" s="6" customFormat="1" ht="18" customHeight="1">
      <c r="A34" s="30"/>
      <c r="B34" s="46">
        <v>14</v>
      </c>
      <c r="C34" s="94" t="e">
        <f t="shared" si="0"/>
        <v>#N/A</v>
      </c>
      <c r="D34" s="47" t="e">
        <f>VLOOKUP(F34,Sheet2!$A$2:$D$31,4,0)</f>
        <v>#N/A</v>
      </c>
      <c r="E34" s="48" t="e">
        <f>VLOOKUP(F34,Sheet2!$A$2:$D$31,2,0)</f>
        <v>#N/A</v>
      </c>
      <c r="F34" s="48" t="s">
        <v>137</v>
      </c>
      <c r="G34" s="49"/>
      <c r="H34" s="223" t="e">
        <f>VLOOKUP(F34,Sheet2!$A$2:$D$31,3,0)</f>
        <v>#N/A</v>
      </c>
      <c r="I34" s="68"/>
      <c r="J34" s="95"/>
      <c r="K34" s="96" t="e">
        <f t="shared" si="1"/>
        <v>#DIV/0!</v>
      </c>
      <c r="L34" s="97"/>
      <c r="M34" s="70"/>
      <c r="N34" s="389"/>
      <c r="O34" s="96"/>
      <c r="P34" s="386"/>
      <c r="Q34" s="58"/>
      <c r="R34" s="365">
        <f t="shared" si="3"/>
        <v>0</v>
      </c>
      <c r="S34" s="365">
        <f t="shared" si="2"/>
        <v>0</v>
      </c>
    </row>
    <row r="35" spans="1:19" s="6" customFormat="1" ht="18" customHeight="1">
      <c r="A35" s="30"/>
      <c r="B35" s="46">
        <v>15</v>
      </c>
      <c r="C35" s="94" t="e">
        <f t="shared" si="0"/>
        <v>#N/A</v>
      </c>
      <c r="D35" s="47" t="e">
        <f>VLOOKUP(F35,Sheet2!$A$2:$D$31,4,0)</f>
        <v>#N/A</v>
      </c>
      <c r="E35" s="48" t="e">
        <f>VLOOKUP(F35,Sheet2!$A$2:$D$31,2,0)</f>
        <v>#N/A</v>
      </c>
      <c r="F35" s="48" t="s">
        <v>137</v>
      </c>
      <c r="G35" s="49"/>
      <c r="H35" s="223" t="e">
        <f>VLOOKUP(F35,Sheet2!$A$2:$D$31,3,0)</f>
        <v>#N/A</v>
      </c>
      <c r="I35" s="68"/>
      <c r="J35" s="95"/>
      <c r="K35" s="96" t="e">
        <f t="shared" si="1"/>
        <v>#DIV/0!</v>
      </c>
      <c r="L35" s="97"/>
      <c r="M35" s="70"/>
      <c r="N35" s="389"/>
      <c r="O35" s="96"/>
      <c r="P35" s="386"/>
      <c r="Q35" s="58"/>
      <c r="R35" s="365">
        <f t="shared" si="3"/>
        <v>0</v>
      </c>
      <c r="S35" s="365">
        <f t="shared" si="2"/>
        <v>0</v>
      </c>
    </row>
    <row r="36" spans="1:19" s="6" customFormat="1" ht="18" customHeight="1">
      <c r="A36" s="30"/>
      <c r="B36" s="46">
        <v>16</v>
      </c>
      <c r="C36" s="94" t="e">
        <f t="shared" si="0"/>
        <v>#N/A</v>
      </c>
      <c r="D36" s="47" t="e">
        <f>VLOOKUP(F36,Sheet2!$A$2:$D$31,4,0)</f>
        <v>#N/A</v>
      </c>
      <c r="E36" s="48" t="e">
        <f>VLOOKUP(F36,Sheet2!$A$2:$D$31,2,0)</f>
        <v>#N/A</v>
      </c>
      <c r="F36" s="48" t="s">
        <v>137</v>
      </c>
      <c r="G36" s="49"/>
      <c r="H36" s="223" t="e">
        <f>VLOOKUP(F36,Sheet2!$A$2:$D$31,3,0)</f>
        <v>#N/A</v>
      </c>
      <c r="I36" s="68"/>
      <c r="J36" s="69"/>
      <c r="K36" s="96" t="e">
        <f t="shared" si="1"/>
        <v>#DIV/0!</v>
      </c>
      <c r="L36" s="98"/>
      <c r="M36" s="70"/>
      <c r="N36" s="389"/>
      <c r="O36" s="96"/>
      <c r="P36" s="386"/>
      <c r="Q36" s="58"/>
      <c r="R36" s="365">
        <f t="shared" si="3"/>
        <v>0</v>
      </c>
      <c r="S36" s="365">
        <f t="shared" si="2"/>
        <v>0</v>
      </c>
    </row>
    <row r="37" spans="1:19" s="6" customFormat="1" ht="18" customHeight="1">
      <c r="A37" s="30"/>
      <c r="B37" s="46">
        <v>17</v>
      </c>
      <c r="C37" s="94" t="e">
        <f t="shared" si="0"/>
        <v>#N/A</v>
      </c>
      <c r="D37" s="47" t="e">
        <f>VLOOKUP(F37,Sheet2!$A$2:$D$31,4,0)</f>
        <v>#N/A</v>
      </c>
      <c r="E37" s="48" t="e">
        <f>VLOOKUP(F37,Sheet2!$A$2:$D$31,2,0)</f>
        <v>#N/A</v>
      </c>
      <c r="F37" s="48" t="s">
        <v>137</v>
      </c>
      <c r="G37" s="49"/>
      <c r="H37" s="223" t="e">
        <f>VLOOKUP(F37,Sheet2!$A$2:$D$31,3,0)</f>
        <v>#N/A</v>
      </c>
      <c r="I37" s="68"/>
      <c r="J37" s="95"/>
      <c r="K37" s="96" t="e">
        <f t="shared" si="1"/>
        <v>#DIV/0!</v>
      </c>
      <c r="L37" s="97"/>
      <c r="M37" s="70"/>
      <c r="N37" s="389"/>
      <c r="O37" s="96"/>
      <c r="P37" s="386"/>
      <c r="Q37" s="58"/>
      <c r="R37" s="365">
        <f t="shared" si="3"/>
        <v>0</v>
      </c>
      <c r="S37" s="365">
        <f t="shared" si="2"/>
        <v>0</v>
      </c>
    </row>
    <row r="38" spans="1:19" s="6" customFormat="1" ht="18" customHeight="1">
      <c r="A38" s="30"/>
      <c r="B38" s="46">
        <v>18</v>
      </c>
      <c r="C38" s="94" t="e">
        <f t="shared" si="0"/>
        <v>#N/A</v>
      </c>
      <c r="D38" s="47" t="e">
        <f>VLOOKUP(F38,Sheet2!$A$2:$D$31,4,0)</f>
        <v>#N/A</v>
      </c>
      <c r="E38" s="48" t="e">
        <f>VLOOKUP(F38,Sheet2!$A$2:$D$31,2,0)</f>
        <v>#N/A</v>
      </c>
      <c r="F38" s="48" t="s">
        <v>137</v>
      </c>
      <c r="G38" s="49"/>
      <c r="H38" s="223" t="e">
        <f>VLOOKUP(F38,Sheet2!$A$2:$D$31,3,0)</f>
        <v>#N/A</v>
      </c>
      <c r="I38" s="68"/>
      <c r="J38" s="69"/>
      <c r="K38" s="96" t="e">
        <f t="shared" si="1"/>
        <v>#DIV/0!</v>
      </c>
      <c r="L38" s="98"/>
      <c r="M38" s="70"/>
      <c r="N38" s="389"/>
      <c r="O38" s="96"/>
      <c r="P38" s="386"/>
      <c r="Q38" s="58"/>
      <c r="R38" s="365">
        <f t="shared" si="3"/>
        <v>0</v>
      </c>
      <c r="S38" s="365">
        <f t="shared" si="2"/>
        <v>0</v>
      </c>
    </row>
    <row r="39" spans="1:19" s="6" customFormat="1" ht="18" customHeight="1">
      <c r="A39" s="30"/>
      <c r="B39" s="46">
        <v>19</v>
      </c>
      <c r="C39" s="94" t="e">
        <f t="shared" si="0"/>
        <v>#N/A</v>
      </c>
      <c r="D39" s="47" t="e">
        <f>VLOOKUP(F39,Sheet2!$A$2:$D$31,4,0)</f>
        <v>#N/A</v>
      </c>
      <c r="E39" s="48" t="e">
        <f>VLOOKUP(F39,Sheet2!$A$2:$D$31,2,0)</f>
        <v>#N/A</v>
      </c>
      <c r="F39" s="48" t="s">
        <v>137</v>
      </c>
      <c r="G39" s="49"/>
      <c r="H39" s="223" t="e">
        <f>VLOOKUP(F39,Sheet2!$A$2:$D$31,3,0)</f>
        <v>#N/A</v>
      </c>
      <c r="I39" s="68"/>
      <c r="J39" s="69"/>
      <c r="K39" s="96" t="e">
        <f t="shared" si="1"/>
        <v>#DIV/0!</v>
      </c>
      <c r="L39" s="98"/>
      <c r="M39" s="70"/>
      <c r="N39" s="389"/>
      <c r="O39" s="96"/>
      <c r="P39" s="386"/>
      <c r="Q39" s="58"/>
      <c r="R39" s="365">
        <f t="shared" si="3"/>
        <v>0</v>
      </c>
      <c r="S39" s="365">
        <f t="shared" si="2"/>
        <v>0</v>
      </c>
    </row>
    <row r="40" spans="1:19" s="6" customFormat="1" ht="18" customHeight="1">
      <c r="A40" s="30"/>
      <c r="B40" s="46">
        <v>20</v>
      </c>
      <c r="C40" s="94" t="e">
        <f t="shared" si="0"/>
        <v>#N/A</v>
      </c>
      <c r="D40" s="47" t="e">
        <f>VLOOKUP(F40,Sheet2!$A$2:$D$31,4,0)</f>
        <v>#N/A</v>
      </c>
      <c r="E40" s="48" t="e">
        <f>VLOOKUP(F40,Sheet2!$A$2:$D$31,2,0)</f>
        <v>#N/A</v>
      </c>
      <c r="F40" s="48" t="s">
        <v>137</v>
      </c>
      <c r="G40" s="49"/>
      <c r="H40" s="223" t="e">
        <f>VLOOKUP(F40,Sheet2!$A$2:$D$31,3,0)</f>
        <v>#N/A</v>
      </c>
      <c r="I40" s="68"/>
      <c r="J40" s="95"/>
      <c r="K40" s="96" t="e">
        <f t="shared" si="1"/>
        <v>#DIV/0!</v>
      </c>
      <c r="L40" s="97"/>
      <c r="M40" s="70"/>
      <c r="N40" s="389"/>
      <c r="O40" s="96"/>
      <c r="P40" s="386"/>
      <c r="Q40" s="58"/>
      <c r="R40" s="365">
        <f>L40</f>
        <v>0</v>
      </c>
      <c r="S40" s="365">
        <f>I40</f>
        <v>0</v>
      </c>
    </row>
    <row r="41" spans="1:19" s="6" customFormat="1" ht="22.5" customHeight="1" thickBot="1">
      <c r="A41" s="30"/>
      <c r="B41" s="51"/>
      <c r="C41" s="99"/>
      <c r="D41" s="52"/>
      <c r="E41" s="53" t="s">
        <v>38</v>
      </c>
      <c r="F41" s="53"/>
      <c r="G41" s="423">
        <f>SUM(G21:G40)</f>
        <v>0</v>
      </c>
      <c r="H41" s="424"/>
      <c r="I41" s="71">
        <f>SUM(I21:I40)</f>
        <v>0</v>
      </c>
      <c r="J41" s="72" t="e">
        <f>SUM(J21:J40)</f>
        <v>#DIV/0!</v>
      </c>
      <c r="K41" s="71"/>
      <c r="L41" s="100">
        <f>SUM(L21:L40)</f>
        <v>0</v>
      </c>
      <c r="M41" s="101">
        <f>SUM(M21:M40)</f>
        <v>0</v>
      </c>
      <c r="N41" s="390">
        <f>SUM(N21:N40)</f>
        <v>0</v>
      </c>
      <c r="O41" s="100">
        <f>SUM(O21:O40)</f>
        <v>0</v>
      </c>
      <c r="P41" s="387">
        <f>SUM(P21:P40)</f>
        <v>0</v>
      </c>
      <c r="Q41" s="58"/>
    </row>
    <row r="42" spans="1:19" s="6" customFormat="1" ht="15" hidden="1" customHeight="1">
      <c r="A42" s="39"/>
      <c r="B42" s="21"/>
      <c r="C42" s="102"/>
      <c r="D42" s="21"/>
      <c r="E42" s="21"/>
      <c r="F42" s="21"/>
      <c r="G42" s="21"/>
      <c r="H42" s="24"/>
      <c r="I42" s="30"/>
      <c r="J42" s="21"/>
      <c r="K42" s="30"/>
      <c r="L42" s="30"/>
      <c r="M42" s="21"/>
      <c r="N42" s="21"/>
      <c r="O42" s="21"/>
      <c r="P42" s="58"/>
      <c r="Q42" s="58"/>
    </row>
    <row r="43" spans="1:19" s="6" customFormat="1" ht="25.5" hidden="1" customHeight="1" thickBot="1">
      <c r="A43" s="30"/>
      <c r="B43" s="40" t="s">
        <v>39</v>
      </c>
      <c r="C43" s="102"/>
      <c r="D43" s="41"/>
      <c r="E43" s="21"/>
      <c r="F43" s="21"/>
      <c r="G43" s="21"/>
      <c r="H43" s="21"/>
      <c r="I43" s="63"/>
      <c r="J43" s="13"/>
      <c r="K43" s="64"/>
      <c r="L43" s="64"/>
      <c r="M43" s="65"/>
      <c r="N43" s="65"/>
      <c r="O43" s="65"/>
      <c r="P43" s="66"/>
      <c r="Q43" s="58"/>
    </row>
    <row r="44" spans="1:19" s="6" customFormat="1" ht="39" hidden="1" customHeight="1">
      <c r="A44" s="42"/>
      <c r="B44" s="43" t="s">
        <v>27</v>
      </c>
      <c r="C44" s="44" t="s">
        <v>28</v>
      </c>
      <c r="D44" s="44" t="s">
        <v>29</v>
      </c>
      <c r="E44" s="45" t="s">
        <v>30</v>
      </c>
      <c r="F44" s="45" t="s">
        <v>31</v>
      </c>
      <c r="G44" s="414" t="s">
        <v>32</v>
      </c>
      <c r="H44" s="414"/>
      <c r="I44" s="45" t="s">
        <v>33</v>
      </c>
      <c r="J44" s="67" t="s">
        <v>34</v>
      </c>
      <c r="K44" s="92" t="s">
        <v>35</v>
      </c>
      <c r="L44" s="92" t="s">
        <v>40</v>
      </c>
      <c r="M44" s="93" t="s">
        <v>37</v>
      </c>
      <c r="N44" s="93"/>
      <c r="O44" s="93"/>
      <c r="P44" s="93" t="s">
        <v>120</v>
      </c>
      <c r="Q44" s="58"/>
    </row>
    <row r="45" spans="1:19" s="6" customFormat="1" ht="18" hidden="1" customHeight="1">
      <c r="A45" s="30"/>
      <c r="B45" s="46"/>
      <c r="C45" s="94" t="e">
        <f>CONCATENATE("MFGG","-",MID(E45,1,3),MID(E45,10,1),"-","IDD")</f>
        <v>#N/A</v>
      </c>
      <c r="D45" s="47" t="e">
        <f>VLOOKUP(F45,Sheet2!$A$2:$D$31,4,0)</f>
        <v>#N/A</v>
      </c>
      <c r="E45" s="48" t="e">
        <f>VLOOKUP(F45,Sheet2!$A$2:$D$31,2,0)</f>
        <v>#N/A</v>
      </c>
      <c r="F45" s="48"/>
      <c r="G45" s="49"/>
      <c r="H45" s="50" t="e">
        <f>VLOOKUP(F45,Sheet2!$A$2:$D$31,3,0)</f>
        <v>#N/A</v>
      </c>
      <c r="I45" s="68"/>
      <c r="J45" s="95"/>
      <c r="K45" s="96" t="e">
        <f t="shared" ref="K45:K50" si="4">L45/G45</f>
        <v>#DIV/0!</v>
      </c>
      <c r="L45" s="97"/>
      <c r="M45" s="70"/>
      <c r="N45" s="70"/>
      <c r="O45" s="70"/>
      <c r="P45" s="70"/>
      <c r="Q45" s="58"/>
    </row>
    <row r="46" spans="1:19" s="6" customFormat="1" ht="18" hidden="1" customHeight="1">
      <c r="A46" s="30"/>
      <c r="B46" s="46"/>
      <c r="C46" s="94" t="e">
        <f t="shared" ref="C46:C64" si="5">CONCATENATE("MFGG","-",MID(E46,1,3),MID(E46,10,1),"-","IDD")</f>
        <v>#N/A</v>
      </c>
      <c r="D46" s="47" t="e">
        <f>VLOOKUP(F46,Sheet2!$A$2:$D$31,4,0)</f>
        <v>#N/A</v>
      </c>
      <c r="E46" s="48" t="e">
        <f>VLOOKUP(F46,Sheet2!$A$2:$D$31,2,0)</f>
        <v>#N/A</v>
      </c>
      <c r="F46" s="48"/>
      <c r="G46" s="49"/>
      <c r="H46" s="50" t="e">
        <f>VLOOKUP(F46,Sheet2!$A$2:$D$31,3,0)</f>
        <v>#N/A</v>
      </c>
      <c r="I46" s="68"/>
      <c r="J46" s="95"/>
      <c r="K46" s="96" t="e">
        <f t="shared" si="4"/>
        <v>#DIV/0!</v>
      </c>
      <c r="L46" s="97"/>
      <c r="M46" s="70"/>
      <c r="N46" s="70"/>
      <c r="O46" s="70"/>
      <c r="P46" s="70"/>
      <c r="Q46" s="58"/>
    </row>
    <row r="47" spans="1:19" s="6" customFormat="1" ht="18" hidden="1" customHeight="1">
      <c r="A47" s="30"/>
      <c r="B47" s="46"/>
      <c r="C47" s="94" t="e">
        <f t="shared" si="5"/>
        <v>#N/A</v>
      </c>
      <c r="D47" s="47" t="e">
        <f>VLOOKUP(F47,Sheet2!$A$2:$D$31,4,0)</f>
        <v>#N/A</v>
      </c>
      <c r="E47" s="48" t="e">
        <f>VLOOKUP(F47,Sheet2!$A$2:$D$31,2,0)</f>
        <v>#N/A</v>
      </c>
      <c r="F47" s="48"/>
      <c r="G47" s="49"/>
      <c r="H47" s="50" t="e">
        <f>VLOOKUP(F47,Sheet2!$A$2:$D$31,3,0)</f>
        <v>#N/A</v>
      </c>
      <c r="I47" s="68"/>
      <c r="J47" s="69"/>
      <c r="K47" s="96" t="e">
        <f t="shared" si="4"/>
        <v>#DIV/0!</v>
      </c>
      <c r="L47" s="98"/>
      <c r="M47" s="70"/>
      <c r="N47" s="70"/>
      <c r="O47" s="70"/>
      <c r="P47" s="70"/>
      <c r="Q47" s="58"/>
    </row>
    <row r="48" spans="1:19" s="6" customFormat="1" ht="18" hidden="1" customHeight="1">
      <c r="A48" s="30"/>
      <c r="B48" s="46"/>
      <c r="C48" s="94" t="e">
        <f t="shared" si="5"/>
        <v>#N/A</v>
      </c>
      <c r="D48" s="47" t="e">
        <f>VLOOKUP(F48,Sheet2!$A$2:$D$31,4,0)</f>
        <v>#N/A</v>
      </c>
      <c r="E48" s="48" t="e">
        <f>VLOOKUP(F48,Sheet2!$A$2:$D$31,2,0)</f>
        <v>#N/A</v>
      </c>
      <c r="F48" s="48"/>
      <c r="G48" s="49"/>
      <c r="H48" s="50" t="e">
        <f>VLOOKUP(F48,Sheet2!$A$2:$D$31,3,0)</f>
        <v>#N/A</v>
      </c>
      <c r="I48" s="68"/>
      <c r="J48" s="95"/>
      <c r="K48" s="96" t="e">
        <f t="shared" si="4"/>
        <v>#DIV/0!</v>
      </c>
      <c r="L48" s="97"/>
      <c r="M48" s="70"/>
      <c r="N48" s="70"/>
      <c r="O48" s="70"/>
      <c r="P48" s="70"/>
      <c r="Q48" s="58"/>
    </row>
    <row r="49" spans="1:17" s="6" customFormat="1" ht="18" hidden="1" customHeight="1">
      <c r="A49" s="30"/>
      <c r="B49" s="46"/>
      <c r="C49" s="94" t="e">
        <f t="shared" si="5"/>
        <v>#N/A</v>
      </c>
      <c r="D49" s="47" t="e">
        <f>VLOOKUP(F49,Sheet2!$A$2:$D$31,4,0)</f>
        <v>#N/A</v>
      </c>
      <c r="E49" s="48" t="e">
        <f>VLOOKUP(F49,Sheet2!$A$2:$D$31,2,0)</f>
        <v>#N/A</v>
      </c>
      <c r="F49" s="48"/>
      <c r="G49" s="49"/>
      <c r="H49" s="50" t="e">
        <f>VLOOKUP(F49,Sheet2!$A$2:$D$31,3,0)</f>
        <v>#N/A</v>
      </c>
      <c r="I49" s="68"/>
      <c r="J49" s="95"/>
      <c r="K49" s="96" t="e">
        <f t="shared" si="4"/>
        <v>#DIV/0!</v>
      </c>
      <c r="L49" s="97"/>
      <c r="M49" s="70"/>
      <c r="N49" s="70"/>
      <c r="O49" s="70"/>
      <c r="P49" s="70"/>
      <c r="Q49" s="58"/>
    </row>
    <row r="50" spans="1:17" s="6" customFormat="1" ht="18" hidden="1" customHeight="1">
      <c r="A50" s="30"/>
      <c r="B50" s="46"/>
      <c r="C50" s="94" t="e">
        <f t="shared" si="5"/>
        <v>#N/A</v>
      </c>
      <c r="D50" s="47" t="e">
        <f>VLOOKUP(F50,Sheet2!$A$2:$D$31,4,0)</f>
        <v>#N/A</v>
      </c>
      <c r="E50" s="48" t="e">
        <f>VLOOKUP(F50,Sheet2!$A$2:$D$31,2,0)</f>
        <v>#N/A</v>
      </c>
      <c r="F50" s="48"/>
      <c r="G50" s="49"/>
      <c r="H50" s="50" t="e">
        <f>VLOOKUP(F50,Sheet2!$A$2:$D$31,3,0)</f>
        <v>#N/A</v>
      </c>
      <c r="I50" s="68"/>
      <c r="J50" s="95"/>
      <c r="K50" s="96" t="e">
        <f t="shared" si="4"/>
        <v>#DIV/0!</v>
      </c>
      <c r="L50" s="97"/>
      <c r="M50" s="70"/>
      <c r="N50" s="70"/>
      <c r="O50" s="70"/>
      <c r="P50" s="70"/>
      <c r="Q50" s="58"/>
    </row>
    <row r="51" spans="1:17" s="6" customFormat="1" ht="18" hidden="1" customHeight="1">
      <c r="A51" s="30"/>
      <c r="B51" s="46"/>
      <c r="C51" s="94" t="e">
        <f t="shared" si="5"/>
        <v>#N/A</v>
      </c>
      <c r="D51" s="47" t="e">
        <f>VLOOKUP(F51,Sheet2!$A$2:$D$31,4,0)</f>
        <v>#N/A</v>
      </c>
      <c r="E51" s="48" t="e">
        <f>VLOOKUP(F51,Sheet2!$A$2:$D$31,2,0)</f>
        <v>#N/A</v>
      </c>
      <c r="F51" s="48"/>
      <c r="G51" s="49"/>
      <c r="H51" s="50" t="e">
        <f>VLOOKUP(F51,Sheet2!$A$2:$D$31,3,0)</f>
        <v>#N/A</v>
      </c>
      <c r="I51" s="68"/>
      <c r="J51" s="69"/>
      <c r="K51" s="96" t="e">
        <f t="shared" ref="K51:K64" si="6">L51/G51</f>
        <v>#DIV/0!</v>
      </c>
      <c r="L51" s="98"/>
      <c r="M51" s="70"/>
      <c r="N51" s="70"/>
      <c r="O51" s="70"/>
      <c r="P51" s="70"/>
      <c r="Q51" s="58"/>
    </row>
    <row r="52" spans="1:17" s="6" customFormat="1" ht="18" hidden="1" customHeight="1">
      <c r="A52" s="30"/>
      <c r="B52" s="46"/>
      <c r="C52" s="94" t="e">
        <f t="shared" si="5"/>
        <v>#N/A</v>
      </c>
      <c r="D52" s="47" t="e">
        <f>VLOOKUP(F52,Sheet2!$A$2:$D$31,4,0)</f>
        <v>#N/A</v>
      </c>
      <c r="E52" s="48" t="e">
        <f>VLOOKUP(F52,Sheet2!$A$2:$D$31,2,0)</f>
        <v>#N/A</v>
      </c>
      <c r="F52" s="48"/>
      <c r="G52" s="49"/>
      <c r="H52" s="50" t="e">
        <f>VLOOKUP(F52,Sheet2!$A$2:$D$31,3,0)</f>
        <v>#N/A</v>
      </c>
      <c r="I52" s="68"/>
      <c r="J52" s="69"/>
      <c r="K52" s="96" t="e">
        <f t="shared" ref="K52:K57" si="7">L52/G52</f>
        <v>#DIV/0!</v>
      </c>
      <c r="L52" s="98"/>
      <c r="M52" s="70"/>
      <c r="N52" s="70"/>
      <c r="O52" s="70"/>
      <c r="P52" s="70"/>
      <c r="Q52" s="58"/>
    </row>
    <row r="53" spans="1:17" s="6" customFormat="1" ht="18" hidden="1" customHeight="1">
      <c r="A53" s="30"/>
      <c r="B53" s="46"/>
      <c r="C53" s="94" t="e">
        <f t="shared" si="5"/>
        <v>#N/A</v>
      </c>
      <c r="D53" s="47" t="e">
        <f>VLOOKUP(F53,Sheet2!$A$2:$D$31,4,0)</f>
        <v>#N/A</v>
      </c>
      <c r="E53" s="48" t="e">
        <f>VLOOKUP(F53,Sheet2!$A$2:$D$31,2,0)</f>
        <v>#N/A</v>
      </c>
      <c r="F53" s="48"/>
      <c r="G53" s="49"/>
      <c r="H53" s="50" t="e">
        <f>VLOOKUP(F53,Sheet2!$A$2:$D$31,3,0)</f>
        <v>#N/A</v>
      </c>
      <c r="I53" s="68"/>
      <c r="J53" s="69"/>
      <c r="K53" s="96" t="e">
        <f t="shared" si="7"/>
        <v>#DIV/0!</v>
      </c>
      <c r="L53" s="98"/>
      <c r="M53" s="70"/>
      <c r="N53" s="70"/>
      <c r="O53" s="70"/>
      <c r="P53" s="70"/>
      <c r="Q53" s="58"/>
    </row>
    <row r="54" spans="1:17" s="6" customFormat="1" ht="18" hidden="1" customHeight="1">
      <c r="A54" s="30"/>
      <c r="B54" s="46"/>
      <c r="C54" s="94" t="e">
        <f t="shared" si="5"/>
        <v>#N/A</v>
      </c>
      <c r="D54" s="47" t="e">
        <f>VLOOKUP(F54,Sheet2!$A$2:$D$31,4,0)</f>
        <v>#N/A</v>
      </c>
      <c r="E54" s="48" t="e">
        <f>VLOOKUP(F54,Sheet2!$A$2:$D$31,2,0)</f>
        <v>#N/A</v>
      </c>
      <c r="F54" s="48"/>
      <c r="G54" s="49"/>
      <c r="H54" s="50" t="e">
        <f>VLOOKUP(F54,Sheet2!$A$2:$D$31,3,0)</f>
        <v>#N/A</v>
      </c>
      <c r="I54" s="68"/>
      <c r="J54" s="69"/>
      <c r="K54" s="96" t="e">
        <f t="shared" si="7"/>
        <v>#DIV/0!</v>
      </c>
      <c r="L54" s="98"/>
      <c r="M54" s="70"/>
      <c r="N54" s="70"/>
      <c r="O54" s="70"/>
      <c r="P54" s="70"/>
      <c r="Q54" s="58"/>
    </row>
    <row r="55" spans="1:17" s="6" customFormat="1" ht="18" hidden="1" customHeight="1">
      <c r="A55" s="30"/>
      <c r="B55" s="46"/>
      <c r="C55" s="94" t="e">
        <f t="shared" si="5"/>
        <v>#N/A</v>
      </c>
      <c r="D55" s="47" t="e">
        <f>VLOOKUP(F55,Sheet2!$A$2:$D$31,4,0)</f>
        <v>#N/A</v>
      </c>
      <c r="E55" s="48" t="e">
        <f>VLOOKUP(F55,Sheet2!$A$2:$D$31,2,0)</f>
        <v>#N/A</v>
      </c>
      <c r="F55" s="48"/>
      <c r="G55" s="49"/>
      <c r="H55" s="50" t="e">
        <f>VLOOKUP(F55,Sheet2!$A$2:$D$31,3,0)</f>
        <v>#N/A</v>
      </c>
      <c r="I55" s="68"/>
      <c r="J55" s="69"/>
      <c r="K55" s="96" t="e">
        <f t="shared" si="7"/>
        <v>#DIV/0!</v>
      </c>
      <c r="L55" s="98"/>
      <c r="M55" s="70"/>
      <c r="N55" s="70"/>
      <c r="O55" s="70"/>
      <c r="P55" s="70"/>
      <c r="Q55" s="58"/>
    </row>
    <row r="56" spans="1:17" s="6" customFormat="1" ht="18" hidden="1" customHeight="1">
      <c r="A56" s="30"/>
      <c r="B56" s="46"/>
      <c r="C56" s="94" t="e">
        <f t="shared" si="5"/>
        <v>#N/A</v>
      </c>
      <c r="D56" s="47" t="e">
        <f>VLOOKUP(F56,Sheet2!$A$2:$D$31,4,0)</f>
        <v>#N/A</v>
      </c>
      <c r="E56" s="48" t="e">
        <f>VLOOKUP(F56,Sheet2!$A$2:$D$31,2,0)</f>
        <v>#N/A</v>
      </c>
      <c r="F56" s="48"/>
      <c r="G56" s="49"/>
      <c r="H56" s="50" t="e">
        <f>VLOOKUP(F56,Sheet2!$A$2:$D$31,3,0)</f>
        <v>#N/A</v>
      </c>
      <c r="I56" s="68"/>
      <c r="J56" s="69"/>
      <c r="K56" s="96" t="e">
        <f t="shared" si="7"/>
        <v>#DIV/0!</v>
      </c>
      <c r="L56" s="98"/>
      <c r="M56" s="70"/>
      <c r="N56" s="70"/>
      <c r="O56" s="70"/>
      <c r="P56" s="70"/>
      <c r="Q56" s="58"/>
    </row>
    <row r="57" spans="1:17" s="6" customFormat="1" ht="18" hidden="1" customHeight="1">
      <c r="A57" s="30"/>
      <c r="B57" s="46"/>
      <c r="C57" s="94" t="e">
        <f t="shared" si="5"/>
        <v>#N/A</v>
      </c>
      <c r="D57" s="47" t="e">
        <f>VLOOKUP(F57,Sheet2!$A$2:$D$31,4,0)</f>
        <v>#N/A</v>
      </c>
      <c r="E57" s="48" t="e">
        <f>VLOOKUP(F57,Sheet2!$A$2:$D$31,2,0)</f>
        <v>#N/A</v>
      </c>
      <c r="F57" s="48"/>
      <c r="G57" s="49"/>
      <c r="H57" s="50" t="e">
        <f>VLOOKUP(F57,Sheet2!$A$2:$D$31,3,0)</f>
        <v>#N/A</v>
      </c>
      <c r="I57" s="68"/>
      <c r="J57" s="69"/>
      <c r="K57" s="96" t="e">
        <f t="shared" si="7"/>
        <v>#DIV/0!</v>
      </c>
      <c r="L57" s="98"/>
      <c r="M57" s="70"/>
      <c r="N57" s="70"/>
      <c r="O57" s="70"/>
      <c r="P57" s="70"/>
      <c r="Q57" s="58"/>
    </row>
    <row r="58" spans="1:17" s="6" customFormat="1" ht="18" hidden="1" customHeight="1">
      <c r="A58" s="30"/>
      <c r="B58" s="46"/>
      <c r="C58" s="94" t="e">
        <f t="shared" si="5"/>
        <v>#N/A</v>
      </c>
      <c r="D58" s="47" t="e">
        <f>VLOOKUP(F58,Sheet2!$A$2:$D$31,4,0)</f>
        <v>#N/A</v>
      </c>
      <c r="E58" s="48" t="e">
        <f>VLOOKUP(F58,Sheet2!$A$2:$D$31,2,0)</f>
        <v>#N/A</v>
      </c>
      <c r="F58" s="48"/>
      <c r="G58" s="49"/>
      <c r="H58" s="50" t="e">
        <f>VLOOKUP(F58,Sheet2!$A$2:$D$31,3,0)</f>
        <v>#N/A</v>
      </c>
      <c r="I58" s="68"/>
      <c r="J58" s="95"/>
      <c r="K58" s="96" t="e">
        <f t="shared" si="6"/>
        <v>#DIV/0!</v>
      </c>
      <c r="L58" s="97"/>
      <c r="M58" s="70"/>
      <c r="N58" s="70"/>
      <c r="O58" s="70"/>
      <c r="P58" s="70"/>
      <c r="Q58" s="58"/>
    </row>
    <row r="59" spans="1:17" s="6" customFormat="1" ht="18" hidden="1" customHeight="1">
      <c r="A59" s="30"/>
      <c r="B59" s="46"/>
      <c r="C59" s="94" t="e">
        <f t="shared" si="5"/>
        <v>#N/A</v>
      </c>
      <c r="D59" s="47" t="e">
        <f>VLOOKUP(F59,Sheet2!$A$2:$D$31,4,0)</f>
        <v>#N/A</v>
      </c>
      <c r="E59" s="48" t="e">
        <f>VLOOKUP(F59,Sheet2!$A$2:$D$31,2,0)</f>
        <v>#N/A</v>
      </c>
      <c r="F59" s="48"/>
      <c r="G59" s="49"/>
      <c r="H59" s="50" t="e">
        <f>VLOOKUP(F59,Sheet2!$A$2:$D$31,3,0)</f>
        <v>#N/A</v>
      </c>
      <c r="I59" s="68"/>
      <c r="J59" s="95"/>
      <c r="K59" s="96" t="e">
        <f t="shared" si="6"/>
        <v>#DIV/0!</v>
      </c>
      <c r="L59" s="97"/>
      <c r="M59" s="70"/>
      <c r="N59" s="70"/>
      <c r="O59" s="70"/>
      <c r="P59" s="70"/>
      <c r="Q59" s="58"/>
    </row>
    <row r="60" spans="1:17" s="6" customFormat="1" ht="18" hidden="1" customHeight="1">
      <c r="A60" s="30"/>
      <c r="B60" s="46"/>
      <c r="C60" s="94" t="e">
        <f t="shared" si="5"/>
        <v>#N/A</v>
      </c>
      <c r="D60" s="47" t="e">
        <f>VLOOKUP(F60,Sheet2!$A$2:$D$31,4,0)</f>
        <v>#N/A</v>
      </c>
      <c r="E60" s="48" t="e">
        <f>VLOOKUP(F60,Sheet2!$A$2:$D$31,2,0)</f>
        <v>#N/A</v>
      </c>
      <c r="F60" s="48"/>
      <c r="G60" s="49"/>
      <c r="H60" s="50" t="e">
        <f>VLOOKUP(F60,Sheet2!$A$2:$D$31,3,0)</f>
        <v>#N/A</v>
      </c>
      <c r="I60" s="68"/>
      <c r="J60" s="95"/>
      <c r="K60" s="96" t="e">
        <f t="shared" si="6"/>
        <v>#DIV/0!</v>
      </c>
      <c r="L60" s="97"/>
      <c r="M60" s="70"/>
      <c r="N60" s="70"/>
      <c r="O60" s="70"/>
      <c r="P60" s="70"/>
      <c r="Q60" s="58"/>
    </row>
    <row r="61" spans="1:17" s="6" customFormat="1" ht="18" hidden="1" customHeight="1">
      <c r="A61" s="30"/>
      <c r="B61" s="46"/>
      <c r="C61" s="94" t="e">
        <f t="shared" si="5"/>
        <v>#N/A</v>
      </c>
      <c r="D61" s="47" t="e">
        <f>VLOOKUP(F61,Sheet2!$A$2:$D$31,4,0)</f>
        <v>#N/A</v>
      </c>
      <c r="E61" s="48" t="e">
        <f>VLOOKUP(F61,Sheet2!$A$2:$D$31,2,0)</f>
        <v>#N/A</v>
      </c>
      <c r="F61" s="48"/>
      <c r="G61" s="49"/>
      <c r="H61" s="50" t="e">
        <f>VLOOKUP(F61,Sheet2!$A$2:$D$31,3,0)</f>
        <v>#N/A</v>
      </c>
      <c r="I61" s="68"/>
      <c r="J61" s="95"/>
      <c r="K61" s="96" t="e">
        <f t="shared" si="6"/>
        <v>#DIV/0!</v>
      </c>
      <c r="L61" s="97"/>
      <c r="M61" s="70"/>
      <c r="N61" s="70"/>
      <c r="O61" s="70"/>
      <c r="P61" s="70"/>
      <c r="Q61" s="58"/>
    </row>
    <row r="62" spans="1:17" s="6" customFormat="1" ht="18" hidden="1" customHeight="1">
      <c r="A62" s="30"/>
      <c r="B62" s="46"/>
      <c r="C62" s="94" t="e">
        <f t="shared" si="5"/>
        <v>#N/A</v>
      </c>
      <c r="D62" s="47" t="e">
        <f>VLOOKUP(F62,Sheet2!$A$2:$D$31,4,0)</f>
        <v>#N/A</v>
      </c>
      <c r="E62" s="48" t="e">
        <f>VLOOKUP(F62,Sheet2!$A$2:$D$31,2,0)</f>
        <v>#N/A</v>
      </c>
      <c r="F62" s="48"/>
      <c r="G62" s="49"/>
      <c r="H62" s="50" t="e">
        <f>VLOOKUP(F62,Sheet2!$A$2:$D$31,3,0)</f>
        <v>#N/A</v>
      </c>
      <c r="I62" s="68"/>
      <c r="J62" s="69"/>
      <c r="K62" s="96" t="e">
        <f t="shared" si="6"/>
        <v>#DIV/0!</v>
      </c>
      <c r="L62" s="98"/>
      <c r="M62" s="70"/>
      <c r="N62" s="70"/>
      <c r="O62" s="70"/>
      <c r="P62" s="70"/>
      <c r="Q62" s="58"/>
    </row>
    <row r="63" spans="1:17" s="6" customFormat="1" ht="18" hidden="1" customHeight="1">
      <c r="A63" s="30"/>
      <c r="B63" s="46"/>
      <c r="C63" s="94" t="e">
        <f t="shared" si="5"/>
        <v>#N/A</v>
      </c>
      <c r="D63" s="47" t="e">
        <f>VLOOKUP(F63,Sheet2!$A$2:$D$31,4,0)</f>
        <v>#N/A</v>
      </c>
      <c r="E63" s="48" t="e">
        <f>VLOOKUP(F63,Sheet2!$A$2:$D$31,2,0)</f>
        <v>#N/A</v>
      </c>
      <c r="F63" s="48"/>
      <c r="G63" s="49"/>
      <c r="H63" s="50" t="e">
        <f>VLOOKUP(F63,Sheet2!$A$2:$D$31,3,0)</f>
        <v>#N/A</v>
      </c>
      <c r="I63" s="68"/>
      <c r="J63" s="95"/>
      <c r="K63" s="96" t="e">
        <f t="shared" si="6"/>
        <v>#DIV/0!</v>
      </c>
      <c r="L63" s="96"/>
      <c r="M63" s="103"/>
      <c r="N63" s="103"/>
      <c r="O63" s="103"/>
      <c r="P63" s="70"/>
      <c r="Q63" s="58"/>
    </row>
    <row r="64" spans="1:17" s="6" customFormat="1" ht="18" hidden="1" customHeight="1">
      <c r="A64" s="30"/>
      <c r="B64" s="46"/>
      <c r="C64" s="94" t="e">
        <f t="shared" si="5"/>
        <v>#N/A</v>
      </c>
      <c r="D64" s="47" t="e">
        <f>VLOOKUP(F64,Sheet2!$A$2:$D$31,4,0)</f>
        <v>#N/A</v>
      </c>
      <c r="E64" s="48" t="e">
        <f>VLOOKUP(F64,Sheet2!$A$2:$D$31,2,0)</f>
        <v>#N/A</v>
      </c>
      <c r="F64" s="48"/>
      <c r="G64" s="49"/>
      <c r="H64" s="50" t="e">
        <f>VLOOKUP(F64,Sheet2!$A$2:$D$31,3,0)</f>
        <v>#N/A</v>
      </c>
      <c r="I64" s="68"/>
      <c r="J64" s="95"/>
      <c r="K64" s="96" t="e">
        <f t="shared" si="6"/>
        <v>#DIV/0!</v>
      </c>
      <c r="L64" s="96"/>
      <c r="M64" s="103"/>
      <c r="N64" s="103"/>
      <c r="O64" s="103"/>
      <c r="P64" s="70"/>
      <c r="Q64" s="58"/>
    </row>
    <row r="65" spans="1:17" s="6" customFormat="1" ht="22.5" hidden="1" customHeight="1" thickBot="1">
      <c r="A65" s="30"/>
      <c r="B65" s="51"/>
      <c r="C65" s="99"/>
      <c r="D65" s="52"/>
      <c r="E65" s="53" t="s">
        <v>38</v>
      </c>
      <c r="F65" s="53"/>
      <c r="G65" s="54">
        <f>SUM(G45:G64)</f>
        <v>0</v>
      </c>
      <c r="H65" s="55"/>
      <c r="I65" s="71">
        <f>SUM(I45:I64)</f>
        <v>0</v>
      </c>
      <c r="J65" s="72">
        <f>SUM(J45:J64)</f>
        <v>0</v>
      </c>
      <c r="K65" s="71"/>
      <c r="L65" s="100">
        <f>SUM(L45:L64)</f>
        <v>0</v>
      </c>
      <c r="M65" s="101">
        <f>SUM(M45:M64)</f>
        <v>0</v>
      </c>
      <c r="N65" s="101"/>
      <c r="O65" s="101"/>
      <c r="P65" s="101">
        <f>SUM(P45:P64)</f>
        <v>0</v>
      </c>
      <c r="Q65" s="58"/>
    </row>
    <row r="66" spans="1:17" s="6" customFormat="1" ht="15" hidden="1" customHeight="1">
      <c r="A66" s="39"/>
      <c r="B66" s="21"/>
      <c r="C66" s="102"/>
      <c r="D66" s="21"/>
      <c r="E66" s="21"/>
      <c r="F66" s="21"/>
      <c r="G66" s="21"/>
      <c r="H66" s="24"/>
      <c r="I66" s="30"/>
      <c r="J66" s="21"/>
      <c r="K66" s="30"/>
      <c r="L66" s="30"/>
      <c r="M66" s="21"/>
      <c r="N66" s="21"/>
      <c r="O66" s="21"/>
      <c r="P66" s="58"/>
      <c r="Q66" s="58"/>
    </row>
    <row r="67" spans="1:17" s="6" customFormat="1" ht="25.5" hidden="1" customHeight="1" thickBot="1">
      <c r="A67" s="30"/>
      <c r="B67" s="40" t="s">
        <v>41</v>
      </c>
      <c r="C67" s="102"/>
      <c r="D67" s="41"/>
      <c r="E67" s="21"/>
      <c r="F67" s="21"/>
      <c r="G67" s="21"/>
      <c r="H67" s="21"/>
      <c r="I67" s="63"/>
      <c r="J67" s="13"/>
      <c r="K67" s="64"/>
      <c r="L67" s="64"/>
      <c r="M67" s="65"/>
      <c r="N67" s="65"/>
      <c r="O67" s="65"/>
      <c r="P67" s="66"/>
      <c r="Q67" s="58"/>
    </row>
    <row r="68" spans="1:17" s="6" customFormat="1" ht="39" hidden="1" customHeight="1">
      <c r="A68" s="42"/>
      <c r="B68" s="43" t="s">
        <v>27</v>
      </c>
      <c r="C68" s="44" t="s">
        <v>28</v>
      </c>
      <c r="D68" s="44" t="s">
        <v>29</v>
      </c>
      <c r="E68" s="45" t="s">
        <v>30</v>
      </c>
      <c r="F68" s="45" t="s">
        <v>31</v>
      </c>
      <c r="G68" s="414" t="s">
        <v>32</v>
      </c>
      <c r="H68" s="414"/>
      <c r="I68" s="45" t="s">
        <v>33</v>
      </c>
      <c r="J68" s="67" t="s">
        <v>34</v>
      </c>
      <c r="K68" s="92" t="s">
        <v>35</v>
      </c>
      <c r="L68" s="92" t="s">
        <v>40</v>
      </c>
      <c r="M68" s="93" t="s">
        <v>37</v>
      </c>
      <c r="N68" s="93"/>
      <c r="O68" s="93"/>
      <c r="P68" s="93" t="s">
        <v>120</v>
      </c>
      <c r="Q68" s="58"/>
    </row>
    <row r="69" spans="1:17" s="6" customFormat="1" ht="18" hidden="1" customHeight="1">
      <c r="A69" s="30"/>
      <c r="B69" s="46"/>
      <c r="C69" s="94" t="e">
        <f t="shared" ref="C69:C88" si="8">CONCATENATE("MFGG","-",MID(E69,1,3),MID(E69,10,1),"-","IDD")</f>
        <v>#N/A</v>
      </c>
      <c r="D69" s="47" t="e">
        <f>VLOOKUP(F69,Sheet2!$A$2:$D$31,4,0)</f>
        <v>#N/A</v>
      </c>
      <c r="E69" s="48" t="e">
        <f>VLOOKUP(F69,Sheet2!$A$2:$D$31,2,0)</f>
        <v>#N/A</v>
      </c>
      <c r="F69" s="48"/>
      <c r="G69" s="49"/>
      <c r="H69" s="50" t="e">
        <f>VLOOKUP(F69,Sheet2!$A$2:$D$31,3,0)</f>
        <v>#N/A</v>
      </c>
      <c r="I69" s="68"/>
      <c r="J69" s="95"/>
      <c r="K69" s="96" t="e">
        <f t="shared" ref="K69:K80" si="9">L69/G69</f>
        <v>#DIV/0!</v>
      </c>
      <c r="L69" s="104"/>
      <c r="M69" s="103"/>
      <c r="N69" s="103"/>
      <c r="O69" s="103"/>
      <c r="P69" s="70"/>
      <c r="Q69" s="58"/>
    </row>
    <row r="70" spans="1:17" s="6" customFormat="1" ht="18" hidden="1" customHeight="1">
      <c r="A70" s="30"/>
      <c r="B70" s="46"/>
      <c r="C70" s="94" t="e">
        <f t="shared" si="8"/>
        <v>#N/A</v>
      </c>
      <c r="D70" s="47" t="e">
        <f>VLOOKUP(F70,Sheet2!$A$2:$D$31,4,0)</f>
        <v>#N/A</v>
      </c>
      <c r="E70" s="48" t="e">
        <f>VLOOKUP(F70,Sheet2!$A$2:$D$31,2,0)</f>
        <v>#N/A</v>
      </c>
      <c r="F70" s="48"/>
      <c r="G70" s="49"/>
      <c r="H70" s="50" t="e">
        <f>VLOOKUP(F70,Sheet2!$A$2:$D$31,3,0)</f>
        <v>#N/A</v>
      </c>
      <c r="I70" s="68"/>
      <c r="J70" s="95"/>
      <c r="K70" s="96" t="e">
        <f t="shared" si="9"/>
        <v>#DIV/0!</v>
      </c>
      <c r="L70" s="104"/>
      <c r="M70" s="103"/>
      <c r="N70" s="103"/>
      <c r="O70" s="103"/>
      <c r="P70" s="70"/>
      <c r="Q70" s="58"/>
    </row>
    <row r="71" spans="1:17" s="6" customFormat="1" ht="18" hidden="1" customHeight="1">
      <c r="A71" s="30"/>
      <c r="B71" s="46"/>
      <c r="C71" s="94" t="e">
        <f t="shared" si="8"/>
        <v>#N/A</v>
      </c>
      <c r="D71" s="47" t="e">
        <f>VLOOKUP(F71,Sheet2!$A$2:$D$31,4,0)</f>
        <v>#N/A</v>
      </c>
      <c r="E71" s="48" t="e">
        <f>VLOOKUP(F71,Sheet2!$A$2:$D$31,2,0)</f>
        <v>#N/A</v>
      </c>
      <c r="F71" s="48"/>
      <c r="G71" s="49"/>
      <c r="H71" s="50" t="e">
        <f>VLOOKUP(F71,Sheet2!$A$2:$D$31,3,0)</f>
        <v>#N/A</v>
      </c>
      <c r="I71" s="68"/>
      <c r="J71" s="69"/>
      <c r="K71" s="96" t="e">
        <f t="shared" si="9"/>
        <v>#DIV/0!</v>
      </c>
      <c r="L71" s="104"/>
      <c r="M71" s="73"/>
      <c r="N71" s="103"/>
      <c r="O71" s="103"/>
      <c r="P71" s="70"/>
      <c r="Q71" s="58"/>
    </row>
    <row r="72" spans="1:17" s="6" customFormat="1" ht="18" hidden="1" customHeight="1">
      <c r="A72" s="30"/>
      <c r="B72" s="46"/>
      <c r="C72" s="94" t="e">
        <f t="shared" si="8"/>
        <v>#N/A</v>
      </c>
      <c r="D72" s="47" t="e">
        <f>VLOOKUP(F72,Sheet2!$A$2:$D$31,4,0)</f>
        <v>#N/A</v>
      </c>
      <c r="E72" s="48" t="e">
        <f>VLOOKUP(F72,Sheet2!$A$2:$D$31,2,0)</f>
        <v>#N/A</v>
      </c>
      <c r="F72" s="48"/>
      <c r="G72" s="49"/>
      <c r="H72" s="50" t="e">
        <f>VLOOKUP(F72,Sheet2!$A$2:$D$31,3,0)</f>
        <v>#N/A</v>
      </c>
      <c r="I72" s="68"/>
      <c r="J72" s="95"/>
      <c r="K72" s="96" t="e">
        <f t="shared" si="9"/>
        <v>#DIV/0!</v>
      </c>
      <c r="L72" s="104"/>
      <c r="M72" s="103"/>
      <c r="N72" s="103"/>
      <c r="O72" s="103"/>
      <c r="P72" s="70"/>
      <c r="Q72" s="58"/>
    </row>
    <row r="73" spans="1:17" s="6" customFormat="1" ht="18" hidden="1" customHeight="1">
      <c r="A73" s="30"/>
      <c r="B73" s="46"/>
      <c r="C73" s="94" t="e">
        <f t="shared" si="8"/>
        <v>#N/A</v>
      </c>
      <c r="D73" s="47" t="e">
        <f>VLOOKUP(F73,Sheet2!$A$2:$D$31,4,0)</f>
        <v>#N/A</v>
      </c>
      <c r="E73" s="48" t="e">
        <f>VLOOKUP(F73,Sheet2!$A$2:$D$31,2,0)</f>
        <v>#N/A</v>
      </c>
      <c r="F73" s="48"/>
      <c r="G73" s="49"/>
      <c r="H73" s="50" t="e">
        <f>VLOOKUP(F73,Sheet2!$A$2:$D$31,3,0)</f>
        <v>#N/A</v>
      </c>
      <c r="I73" s="68"/>
      <c r="J73" s="95"/>
      <c r="K73" s="96" t="e">
        <f t="shared" si="9"/>
        <v>#DIV/0!</v>
      </c>
      <c r="L73" s="104"/>
      <c r="M73" s="103"/>
      <c r="N73" s="103"/>
      <c r="O73" s="103"/>
      <c r="P73" s="70"/>
      <c r="Q73" s="58"/>
    </row>
    <row r="74" spans="1:17" s="6" customFormat="1" ht="18" hidden="1" customHeight="1">
      <c r="A74" s="30"/>
      <c r="B74" s="46"/>
      <c r="C74" s="94" t="e">
        <f t="shared" si="8"/>
        <v>#N/A</v>
      </c>
      <c r="D74" s="47" t="e">
        <f>VLOOKUP(F74,Sheet2!$A$2:$D$31,4,0)</f>
        <v>#N/A</v>
      </c>
      <c r="E74" s="48" t="e">
        <f>VLOOKUP(F74,Sheet2!$A$2:$D$31,2,0)</f>
        <v>#N/A</v>
      </c>
      <c r="F74" s="48"/>
      <c r="G74" s="49"/>
      <c r="H74" s="50" t="e">
        <f>VLOOKUP(F74,Sheet2!$A$2:$D$31,3,0)</f>
        <v>#N/A</v>
      </c>
      <c r="I74" s="68"/>
      <c r="J74" s="95"/>
      <c r="K74" s="96" t="e">
        <f t="shared" si="9"/>
        <v>#DIV/0!</v>
      </c>
      <c r="L74" s="97"/>
      <c r="M74" s="70"/>
      <c r="N74" s="70"/>
      <c r="O74" s="70"/>
      <c r="P74" s="70"/>
      <c r="Q74" s="58"/>
    </row>
    <row r="75" spans="1:17" s="6" customFormat="1" ht="18" hidden="1" customHeight="1">
      <c r="A75" s="30"/>
      <c r="B75" s="46"/>
      <c r="C75" s="94" t="e">
        <f t="shared" si="8"/>
        <v>#N/A</v>
      </c>
      <c r="D75" s="47" t="e">
        <f>VLOOKUP(F75,Sheet2!$A$2:$D$31,4,0)</f>
        <v>#N/A</v>
      </c>
      <c r="E75" s="48" t="e">
        <f>VLOOKUP(F75,Sheet2!$A$2:$D$31,2,0)</f>
        <v>#N/A</v>
      </c>
      <c r="F75" s="48"/>
      <c r="G75" s="49"/>
      <c r="H75" s="50" t="e">
        <f>VLOOKUP(F75,Sheet2!$A$2:$D$31,3,0)</f>
        <v>#N/A</v>
      </c>
      <c r="I75" s="68"/>
      <c r="J75" s="95"/>
      <c r="K75" s="96" t="e">
        <f t="shared" si="9"/>
        <v>#DIV/0!</v>
      </c>
      <c r="L75" s="104"/>
      <c r="M75" s="103"/>
      <c r="N75" s="103"/>
      <c r="O75" s="103"/>
      <c r="P75" s="70"/>
      <c r="Q75" s="58"/>
    </row>
    <row r="76" spans="1:17" s="6" customFormat="1" ht="18" hidden="1" customHeight="1">
      <c r="A76" s="30"/>
      <c r="B76" s="46"/>
      <c r="C76" s="94" t="e">
        <f t="shared" si="8"/>
        <v>#N/A</v>
      </c>
      <c r="D76" s="47" t="e">
        <f>VLOOKUP(F76,Sheet2!$A$2:$D$31,4,0)</f>
        <v>#N/A</v>
      </c>
      <c r="E76" s="48" t="e">
        <f>VLOOKUP(F76,Sheet2!$A$2:$D$31,2,0)</f>
        <v>#N/A</v>
      </c>
      <c r="F76" s="48"/>
      <c r="G76" s="49"/>
      <c r="H76" s="50" t="e">
        <f>VLOOKUP(F76,Sheet2!$A$2:$D$31,3,0)</f>
        <v>#N/A</v>
      </c>
      <c r="I76" s="68"/>
      <c r="J76" s="95"/>
      <c r="K76" s="96" t="e">
        <f t="shared" ref="K76:K79" si="10">L76/G76</f>
        <v>#DIV/0!</v>
      </c>
      <c r="L76" s="104"/>
      <c r="M76" s="103"/>
      <c r="N76" s="103"/>
      <c r="O76" s="103"/>
      <c r="P76" s="70"/>
      <c r="Q76" s="58"/>
    </row>
    <row r="77" spans="1:17" s="6" customFormat="1" ht="18" hidden="1" customHeight="1">
      <c r="A77" s="30"/>
      <c r="B77" s="46"/>
      <c r="C77" s="94" t="e">
        <f t="shared" si="8"/>
        <v>#N/A</v>
      </c>
      <c r="D77" s="47" t="e">
        <f>VLOOKUP(F77,Sheet2!$A$2:$D$31,4,0)</f>
        <v>#N/A</v>
      </c>
      <c r="E77" s="48" t="e">
        <f>VLOOKUP(F77,Sheet2!$A$2:$D$31,2,0)</f>
        <v>#N/A</v>
      </c>
      <c r="F77" s="48"/>
      <c r="G77" s="49"/>
      <c r="H77" s="50" t="e">
        <f>VLOOKUP(F77,Sheet2!$A$2:$D$31,3,0)</f>
        <v>#N/A</v>
      </c>
      <c r="I77" s="68"/>
      <c r="J77" s="95"/>
      <c r="K77" s="96" t="e">
        <f t="shared" si="10"/>
        <v>#DIV/0!</v>
      </c>
      <c r="L77" s="104"/>
      <c r="M77" s="103"/>
      <c r="N77" s="103"/>
      <c r="O77" s="103"/>
      <c r="P77" s="70"/>
      <c r="Q77" s="58"/>
    </row>
    <row r="78" spans="1:17" s="6" customFormat="1" ht="18" hidden="1" customHeight="1">
      <c r="A78" s="30"/>
      <c r="B78" s="46"/>
      <c r="C78" s="94" t="e">
        <f t="shared" si="8"/>
        <v>#N/A</v>
      </c>
      <c r="D78" s="47" t="e">
        <f>VLOOKUP(F78,Sheet2!$A$2:$D$31,4,0)</f>
        <v>#N/A</v>
      </c>
      <c r="E78" s="48" t="e">
        <f>VLOOKUP(F78,Sheet2!$A$2:$D$31,2,0)</f>
        <v>#N/A</v>
      </c>
      <c r="F78" s="48"/>
      <c r="G78" s="49"/>
      <c r="H78" s="50" t="e">
        <f>VLOOKUP(F78,Sheet2!$A$2:$D$31,3,0)</f>
        <v>#N/A</v>
      </c>
      <c r="I78" s="68"/>
      <c r="J78" s="95"/>
      <c r="K78" s="96" t="e">
        <f t="shared" si="10"/>
        <v>#DIV/0!</v>
      </c>
      <c r="L78" s="104"/>
      <c r="M78" s="103"/>
      <c r="N78" s="103"/>
      <c r="O78" s="103"/>
      <c r="P78" s="70"/>
      <c r="Q78" s="58"/>
    </row>
    <row r="79" spans="1:17" s="6" customFormat="1" ht="18" hidden="1" customHeight="1">
      <c r="A79" s="30"/>
      <c r="B79" s="46"/>
      <c r="C79" s="94" t="e">
        <f t="shared" si="8"/>
        <v>#N/A</v>
      </c>
      <c r="D79" s="47" t="e">
        <f>VLOOKUP(F79,Sheet2!$A$2:$D$31,4,0)</f>
        <v>#N/A</v>
      </c>
      <c r="E79" s="48" t="e">
        <f>VLOOKUP(F79,Sheet2!$A$2:$D$31,2,0)</f>
        <v>#N/A</v>
      </c>
      <c r="F79" s="48"/>
      <c r="G79" s="49"/>
      <c r="H79" s="50" t="e">
        <f>VLOOKUP(F79,Sheet2!$A$2:$D$31,3,0)</f>
        <v>#N/A</v>
      </c>
      <c r="I79" s="68"/>
      <c r="J79" s="95"/>
      <c r="K79" s="96" t="e">
        <f t="shared" si="10"/>
        <v>#DIV/0!</v>
      </c>
      <c r="L79" s="104"/>
      <c r="M79" s="103"/>
      <c r="N79" s="103"/>
      <c r="O79" s="103"/>
      <c r="P79" s="70"/>
      <c r="Q79" s="58"/>
    </row>
    <row r="80" spans="1:17" s="6" customFormat="1" ht="18" hidden="1" customHeight="1">
      <c r="A80" s="30"/>
      <c r="B80" s="46"/>
      <c r="C80" s="94" t="e">
        <f t="shared" si="8"/>
        <v>#N/A</v>
      </c>
      <c r="D80" s="47" t="e">
        <f>VLOOKUP(F80,Sheet2!$A$2:$D$31,4,0)</f>
        <v>#N/A</v>
      </c>
      <c r="E80" s="48" t="e">
        <f>VLOOKUP(F80,Sheet2!$A$2:$D$31,2,0)</f>
        <v>#N/A</v>
      </c>
      <c r="F80" s="48"/>
      <c r="G80" s="49"/>
      <c r="H80" s="50" t="e">
        <f>VLOOKUP(F80,Sheet2!$A$2:$D$31,3,0)</f>
        <v>#N/A</v>
      </c>
      <c r="I80" s="68"/>
      <c r="J80" s="69"/>
      <c r="K80" s="96" t="e">
        <f t="shared" si="9"/>
        <v>#DIV/0!</v>
      </c>
      <c r="L80" s="104"/>
      <c r="M80" s="73"/>
      <c r="N80" s="103"/>
      <c r="O80" s="103"/>
      <c r="P80" s="70"/>
      <c r="Q80" s="58"/>
    </row>
    <row r="81" spans="1:17" s="6" customFormat="1" ht="18" hidden="1" customHeight="1">
      <c r="A81" s="30"/>
      <c r="B81" s="46"/>
      <c r="C81" s="94" t="e">
        <f t="shared" si="8"/>
        <v>#N/A</v>
      </c>
      <c r="D81" s="47" t="e">
        <f>VLOOKUP(F81,Sheet2!$A$2:$D$31,4,0)</f>
        <v>#N/A</v>
      </c>
      <c r="E81" s="48" t="e">
        <f>VLOOKUP(F81,Sheet2!$A$2:$D$31,2,0)</f>
        <v>#N/A</v>
      </c>
      <c r="F81" s="48"/>
      <c r="G81" s="49"/>
      <c r="H81" s="50" t="e">
        <f>VLOOKUP(F81,Sheet2!$A$2:$D$31,3,0)</f>
        <v>#N/A</v>
      </c>
      <c r="I81" s="68"/>
      <c r="J81" s="95"/>
      <c r="K81" s="96" t="e">
        <f t="shared" ref="K81:K88" si="11">L81/G81</f>
        <v>#DIV/0!</v>
      </c>
      <c r="L81" s="104"/>
      <c r="M81" s="103"/>
      <c r="N81" s="103"/>
      <c r="O81" s="103"/>
      <c r="P81" s="70"/>
      <c r="Q81" s="58"/>
    </row>
    <row r="82" spans="1:17" s="6" customFormat="1" ht="18" hidden="1" customHeight="1">
      <c r="A82" s="30"/>
      <c r="B82" s="46"/>
      <c r="C82" s="94" t="e">
        <f t="shared" si="8"/>
        <v>#N/A</v>
      </c>
      <c r="D82" s="47" t="e">
        <f>VLOOKUP(F82,Sheet2!$A$2:$D$31,4,0)</f>
        <v>#N/A</v>
      </c>
      <c r="E82" s="48" t="e">
        <f>VLOOKUP(F82,Sheet2!$A$2:$D$31,2,0)</f>
        <v>#N/A</v>
      </c>
      <c r="F82" s="48"/>
      <c r="G82" s="49"/>
      <c r="H82" s="50" t="e">
        <f>VLOOKUP(F82,Sheet2!$A$2:$D$31,3,0)</f>
        <v>#N/A</v>
      </c>
      <c r="I82" s="68"/>
      <c r="J82" s="95"/>
      <c r="K82" s="96" t="e">
        <f t="shared" si="11"/>
        <v>#DIV/0!</v>
      </c>
      <c r="L82" s="104"/>
      <c r="M82" s="103"/>
      <c r="N82" s="103"/>
      <c r="O82" s="103"/>
      <c r="P82" s="70"/>
      <c r="Q82" s="58"/>
    </row>
    <row r="83" spans="1:17" s="6" customFormat="1" ht="18" hidden="1" customHeight="1">
      <c r="A83" s="30"/>
      <c r="B83" s="46"/>
      <c r="C83" s="94" t="e">
        <f t="shared" si="8"/>
        <v>#N/A</v>
      </c>
      <c r="D83" s="47" t="e">
        <f>VLOOKUP(F83,Sheet2!$A$2:$D$31,4,0)</f>
        <v>#N/A</v>
      </c>
      <c r="E83" s="48" t="e">
        <f>VLOOKUP(F83,Sheet2!$A$2:$D$31,2,0)</f>
        <v>#N/A</v>
      </c>
      <c r="F83" s="48"/>
      <c r="G83" s="49"/>
      <c r="H83" s="50" t="e">
        <f>VLOOKUP(F83,Sheet2!$A$2:$D$31,3,0)</f>
        <v>#N/A</v>
      </c>
      <c r="I83" s="68"/>
      <c r="J83" s="95"/>
      <c r="K83" s="96" t="e">
        <f t="shared" si="11"/>
        <v>#DIV/0!</v>
      </c>
      <c r="L83" s="104"/>
      <c r="M83" s="103"/>
      <c r="N83" s="103"/>
      <c r="O83" s="103"/>
      <c r="P83" s="70"/>
      <c r="Q83" s="58"/>
    </row>
    <row r="84" spans="1:17" s="6" customFormat="1" ht="18" hidden="1" customHeight="1">
      <c r="A84" s="30"/>
      <c r="B84" s="46"/>
      <c r="C84" s="94" t="e">
        <f t="shared" si="8"/>
        <v>#N/A</v>
      </c>
      <c r="D84" s="47" t="e">
        <f>VLOOKUP(F84,Sheet2!$A$2:$D$31,4,0)</f>
        <v>#N/A</v>
      </c>
      <c r="E84" s="48" t="e">
        <f>VLOOKUP(F84,Sheet2!$A$2:$D$31,2,0)</f>
        <v>#N/A</v>
      </c>
      <c r="F84" s="48"/>
      <c r="G84" s="49"/>
      <c r="H84" s="50" t="e">
        <f>VLOOKUP(F84,Sheet2!$A$2:$D$31,3,0)</f>
        <v>#N/A</v>
      </c>
      <c r="I84" s="68"/>
      <c r="J84" s="95"/>
      <c r="K84" s="96" t="e">
        <f t="shared" si="11"/>
        <v>#DIV/0!</v>
      </c>
      <c r="L84" s="104"/>
      <c r="M84" s="103"/>
      <c r="N84" s="103"/>
      <c r="O84" s="103"/>
      <c r="P84" s="70"/>
      <c r="Q84" s="58"/>
    </row>
    <row r="85" spans="1:17" s="6" customFormat="1" ht="18" hidden="1" customHeight="1">
      <c r="A85" s="30"/>
      <c r="B85" s="46"/>
      <c r="C85" s="94" t="e">
        <f t="shared" si="8"/>
        <v>#N/A</v>
      </c>
      <c r="D85" s="47" t="e">
        <f>VLOOKUP(F85,Sheet2!$A$2:$D$31,4,0)</f>
        <v>#N/A</v>
      </c>
      <c r="E85" s="48" t="e">
        <f>VLOOKUP(F85,Sheet2!$A$2:$D$31,2,0)</f>
        <v>#N/A</v>
      </c>
      <c r="F85" s="48"/>
      <c r="G85" s="49"/>
      <c r="H85" s="50" t="e">
        <f>VLOOKUP(F85,Sheet2!$A$2:$D$31,3,0)</f>
        <v>#N/A</v>
      </c>
      <c r="I85" s="68"/>
      <c r="J85" s="95"/>
      <c r="K85" s="96" t="e">
        <f t="shared" si="11"/>
        <v>#DIV/0!</v>
      </c>
      <c r="L85" s="104"/>
      <c r="M85" s="103"/>
      <c r="N85" s="103"/>
      <c r="O85" s="103"/>
      <c r="P85" s="70"/>
      <c r="Q85" s="58"/>
    </row>
    <row r="86" spans="1:17" s="6" customFormat="1" ht="18" hidden="1" customHeight="1">
      <c r="A86" s="30"/>
      <c r="B86" s="46"/>
      <c r="C86" s="94" t="e">
        <f t="shared" si="8"/>
        <v>#N/A</v>
      </c>
      <c r="D86" s="47" t="e">
        <f>VLOOKUP(F86,Sheet2!$A$2:$D$31,4,0)</f>
        <v>#N/A</v>
      </c>
      <c r="E86" s="48" t="e">
        <f>VLOOKUP(F86,Sheet2!$A$2:$D$31,2,0)</f>
        <v>#N/A</v>
      </c>
      <c r="F86" s="48"/>
      <c r="G86" s="49"/>
      <c r="H86" s="50" t="e">
        <f>VLOOKUP(F86,Sheet2!$A$2:$D$31,3,0)</f>
        <v>#N/A</v>
      </c>
      <c r="I86" s="68"/>
      <c r="J86" s="69"/>
      <c r="K86" s="96" t="e">
        <f t="shared" si="11"/>
        <v>#DIV/0!</v>
      </c>
      <c r="L86" s="104"/>
      <c r="M86" s="73"/>
      <c r="N86" s="103"/>
      <c r="O86" s="103"/>
      <c r="P86" s="70"/>
      <c r="Q86" s="58"/>
    </row>
    <row r="87" spans="1:17" s="6" customFormat="1" ht="18" hidden="1" customHeight="1">
      <c r="A87" s="30"/>
      <c r="B87" s="46"/>
      <c r="C87" s="94" t="e">
        <f t="shared" si="8"/>
        <v>#N/A</v>
      </c>
      <c r="D87" s="47" t="e">
        <f>VLOOKUP(F87,Sheet2!$A$2:$D$31,4,0)</f>
        <v>#N/A</v>
      </c>
      <c r="E87" s="48" t="e">
        <f>VLOOKUP(F87,Sheet2!$A$2:$D$31,2,0)</f>
        <v>#N/A</v>
      </c>
      <c r="F87" s="48"/>
      <c r="G87" s="49"/>
      <c r="H87" s="50" t="e">
        <f>VLOOKUP(F87,Sheet2!$A$2:$D$31,3,0)</f>
        <v>#N/A</v>
      </c>
      <c r="I87" s="68"/>
      <c r="J87" s="95"/>
      <c r="K87" s="96" t="e">
        <f t="shared" ref="K87" si="12">L87/G87</f>
        <v>#DIV/0!</v>
      </c>
      <c r="L87" s="104"/>
      <c r="M87" s="103"/>
      <c r="N87" s="103"/>
      <c r="O87" s="103"/>
      <c r="P87" s="70"/>
      <c r="Q87" s="58"/>
    </row>
    <row r="88" spans="1:17" s="6" customFormat="1" ht="18" hidden="1" customHeight="1">
      <c r="A88" s="30"/>
      <c r="B88" s="46"/>
      <c r="C88" s="94" t="e">
        <f t="shared" si="8"/>
        <v>#N/A</v>
      </c>
      <c r="D88" s="47" t="e">
        <f>VLOOKUP(F88,Sheet2!$A$2:$D$31,4,0)</f>
        <v>#N/A</v>
      </c>
      <c r="E88" s="48" t="e">
        <f>VLOOKUP(F88,Sheet2!$A$2:$D$31,2,0)</f>
        <v>#N/A</v>
      </c>
      <c r="F88" s="48"/>
      <c r="G88" s="49"/>
      <c r="H88" s="50" t="e">
        <f>VLOOKUP(F88,Sheet2!$A$2:$D$31,3,0)</f>
        <v>#N/A</v>
      </c>
      <c r="I88" s="68"/>
      <c r="J88" s="95"/>
      <c r="K88" s="96" t="e">
        <f t="shared" si="11"/>
        <v>#DIV/0!</v>
      </c>
      <c r="L88" s="104"/>
      <c r="M88" s="103"/>
      <c r="N88" s="103"/>
      <c r="O88" s="103"/>
      <c r="P88" s="70"/>
      <c r="Q88" s="58"/>
    </row>
    <row r="89" spans="1:17" s="6" customFormat="1" ht="22.5" hidden="1" customHeight="1" thickBot="1">
      <c r="A89" s="30"/>
      <c r="B89" s="51"/>
      <c r="C89" s="99"/>
      <c r="D89" s="52"/>
      <c r="E89" s="53" t="s">
        <v>38</v>
      </c>
      <c r="F89" s="53"/>
      <c r="G89" s="54">
        <f>SUM(G69:G88)</f>
        <v>0</v>
      </c>
      <c r="H89" s="55"/>
      <c r="I89" s="71">
        <f>SUM(I69:I88)</f>
        <v>0</v>
      </c>
      <c r="J89" s="72">
        <f>SUM(J69:J88)</f>
        <v>0</v>
      </c>
      <c r="K89" s="71"/>
      <c r="L89" s="100">
        <f>SUM(L69:L88)</f>
        <v>0</v>
      </c>
      <c r="M89" s="101">
        <f>SUM(M69:M88)</f>
        <v>0</v>
      </c>
      <c r="N89" s="101"/>
      <c r="O89" s="101"/>
      <c r="P89" s="101">
        <f>SUM(P69:P88)</f>
        <v>0</v>
      </c>
      <c r="Q89" s="58"/>
    </row>
    <row r="90" spans="1:17" s="6" customFormat="1" ht="15" hidden="1" customHeight="1">
      <c r="A90" s="39"/>
      <c r="B90" s="21"/>
      <c r="C90" s="102"/>
      <c r="D90" s="21"/>
      <c r="E90" s="21"/>
      <c r="F90" s="21"/>
      <c r="G90" s="21"/>
      <c r="H90" s="24"/>
      <c r="I90" s="30"/>
      <c r="J90" s="21"/>
      <c r="K90" s="30"/>
      <c r="L90" s="30"/>
      <c r="M90" s="21"/>
      <c r="N90" s="21"/>
      <c r="O90" s="21"/>
      <c r="P90" s="58"/>
      <c r="Q90" s="58"/>
    </row>
    <row r="91" spans="1:17" s="6" customFormat="1" ht="25.5" hidden="1" customHeight="1" thickBot="1">
      <c r="A91" s="30"/>
      <c r="B91" s="40" t="s">
        <v>42</v>
      </c>
      <c r="C91" s="102"/>
      <c r="D91" s="41"/>
      <c r="E91" s="21"/>
      <c r="F91" s="21"/>
      <c r="G91" s="21"/>
      <c r="H91" s="21"/>
      <c r="I91" s="63"/>
      <c r="J91" s="13"/>
      <c r="K91" s="64"/>
      <c r="L91" s="64"/>
      <c r="M91" s="65"/>
      <c r="N91" s="65"/>
      <c r="O91" s="65"/>
      <c r="P91" s="66"/>
      <c r="Q91" s="58"/>
    </row>
    <row r="92" spans="1:17" s="6" customFormat="1" ht="39" hidden="1" customHeight="1">
      <c r="A92" s="42"/>
      <c r="B92" s="43" t="s">
        <v>27</v>
      </c>
      <c r="C92" s="44" t="s">
        <v>28</v>
      </c>
      <c r="D92" s="44" t="s">
        <v>29</v>
      </c>
      <c r="E92" s="45" t="s">
        <v>30</v>
      </c>
      <c r="F92" s="45" t="s">
        <v>31</v>
      </c>
      <c r="G92" s="414" t="s">
        <v>32</v>
      </c>
      <c r="H92" s="414"/>
      <c r="I92" s="45" t="s">
        <v>33</v>
      </c>
      <c r="J92" s="67" t="s">
        <v>34</v>
      </c>
      <c r="K92" s="92" t="s">
        <v>35</v>
      </c>
      <c r="L92" s="92" t="s">
        <v>36</v>
      </c>
      <c r="M92" s="93" t="s">
        <v>37</v>
      </c>
      <c r="N92" s="93"/>
      <c r="O92" s="93"/>
      <c r="P92" s="93" t="s">
        <v>120</v>
      </c>
      <c r="Q92" s="58"/>
    </row>
    <row r="93" spans="1:17" s="6" customFormat="1" ht="18" hidden="1" customHeight="1">
      <c r="A93" s="30"/>
      <c r="B93" s="46"/>
      <c r="C93" s="94" t="e">
        <f t="shared" ref="C93:C112" si="13">CONCATENATE("MFGG","-",MID(E93,1,3),MID(E93,10,1),"-","IDD")</f>
        <v>#N/A</v>
      </c>
      <c r="D93" s="47" t="e">
        <f>VLOOKUP(F93,Sheet2!$A$2:$D$31,4,0)</f>
        <v>#N/A</v>
      </c>
      <c r="E93" s="48" t="e">
        <f>VLOOKUP(F93,Sheet2!$A$2:$D$31,2,0)</f>
        <v>#N/A</v>
      </c>
      <c r="F93" s="48"/>
      <c r="G93" s="49"/>
      <c r="H93" s="50" t="e">
        <f>VLOOKUP(F93,Sheet2!$A$2:$D$31,3,0)</f>
        <v>#N/A</v>
      </c>
      <c r="I93" s="68"/>
      <c r="J93" s="95"/>
      <c r="K93" s="96" t="e">
        <f t="shared" ref="K93:K95" si="14">L93/G93</f>
        <v>#DIV/0!</v>
      </c>
      <c r="L93" s="104"/>
      <c r="M93" s="103"/>
      <c r="N93" s="103"/>
      <c r="O93" s="103"/>
      <c r="P93" s="70"/>
      <c r="Q93" s="58"/>
    </row>
    <row r="94" spans="1:17" s="6" customFormat="1" ht="18" hidden="1" customHeight="1">
      <c r="A94" s="30"/>
      <c r="B94" s="46"/>
      <c r="C94" s="94" t="e">
        <f t="shared" si="13"/>
        <v>#N/A</v>
      </c>
      <c r="D94" s="47" t="e">
        <f>VLOOKUP(F94,Sheet2!$A$2:$D$31,4,0)</f>
        <v>#N/A</v>
      </c>
      <c r="E94" s="48" t="e">
        <f>VLOOKUP(F94,Sheet2!$A$2:$D$31,2,0)</f>
        <v>#N/A</v>
      </c>
      <c r="F94" s="48"/>
      <c r="G94" s="49"/>
      <c r="H94" s="50" t="e">
        <f>VLOOKUP(F94,Sheet2!$A$2:$D$31,3,0)</f>
        <v>#N/A</v>
      </c>
      <c r="I94" s="68"/>
      <c r="J94" s="95"/>
      <c r="K94" s="96" t="e">
        <f t="shared" si="14"/>
        <v>#DIV/0!</v>
      </c>
      <c r="L94" s="104"/>
      <c r="M94" s="103"/>
      <c r="N94" s="103"/>
      <c r="O94" s="103"/>
      <c r="P94" s="70"/>
      <c r="Q94" s="58"/>
    </row>
    <row r="95" spans="1:17" s="6" customFormat="1" ht="18" hidden="1" customHeight="1">
      <c r="A95" s="30"/>
      <c r="B95" s="46"/>
      <c r="C95" s="94" t="e">
        <f t="shared" si="13"/>
        <v>#N/A</v>
      </c>
      <c r="D95" s="47" t="e">
        <f>VLOOKUP(F95,Sheet2!$A$2:$D$31,4,0)</f>
        <v>#N/A</v>
      </c>
      <c r="E95" s="48" t="e">
        <f>VLOOKUP(F95,Sheet2!$A$2:$D$31,2,0)</f>
        <v>#N/A</v>
      </c>
      <c r="F95" s="48"/>
      <c r="G95" s="49"/>
      <c r="H95" s="50" t="e">
        <f>VLOOKUP(F95,Sheet2!$A$2:$D$31,3,0)</f>
        <v>#N/A</v>
      </c>
      <c r="I95" s="68"/>
      <c r="J95" s="69"/>
      <c r="K95" s="96" t="e">
        <f t="shared" si="14"/>
        <v>#DIV/0!</v>
      </c>
      <c r="L95" s="104"/>
      <c r="M95" s="73"/>
      <c r="N95" s="103"/>
      <c r="O95" s="103"/>
      <c r="P95" s="70"/>
      <c r="Q95" s="58"/>
    </row>
    <row r="96" spans="1:17" s="6" customFormat="1" ht="18" hidden="1" customHeight="1">
      <c r="A96" s="30"/>
      <c r="B96" s="46"/>
      <c r="C96" s="94" t="e">
        <f t="shared" si="13"/>
        <v>#N/A</v>
      </c>
      <c r="D96" s="47" t="e">
        <f>VLOOKUP(F96,Sheet2!$A$2:$D$31,4,0)</f>
        <v>#N/A</v>
      </c>
      <c r="E96" s="48" t="e">
        <f>VLOOKUP(F96,Sheet2!$A$2:$D$31,2,0)</f>
        <v>#N/A</v>
      </c>
      <c r="F96" s="48"/>
      <c r="G96" s="49"/>
      <c r="H96" s="50" t="e">
        <f>VLOOKUP(F96,Sheet2!$A$2:$D$31,3,0)</f>
        <v>#N/A</v>
      </c>
      <c r="I96" s="68"/>
      <c r="J96" s="95"/>
      <c r="K96" s="96" t="e">
        <f t="shared" ref="K96:K112" si="15">L96/G96</f>
        <v>#DIV/0!</v>
      </c>
      <c r="L96" s="104"/>
      <c r="M96" s="103"/>
      <c r="N96" s="103"/>
      <c r="O96" s="103"/>
      <c r="P96" s="70"/>
      <c r="Q96" s="58"/>
    </row>
    <row r="97" spans="1:17" s="6" customFormat="1" ht="18" hidden="1" customHeight="1">
      <c r="A97" s="30"/>
      <c r="B97" s="46"/>
      <c r="C97" s="94" t="e">
        <f t="shared" si="13"/>
        <v>#N/A</v>
      </c>
      <c r="D97" s="47" t="e">
        <f>VLOOKUP(F97,Sheet2!$A$2:$D$31,4,0)</f>
        <v>#N/A</v>
      </c>
      <c r="E97" s="48" t="e">
        <f>VLOOKUP(F97,Sheet2!$A$2:$D$31,2,0)</f>
        <v>#N/A</v>
      </c>
      <c r="F97" s="48"/>
      <c r="G97" s="49"/>
      <c r="H97" s="50" t="e">
        <f>VLOOKUP(F97,Sheet2!$A$2:$D$31,3,0)</f>
        <v>#N/A</v>
      </c>
      <c r="I97" s="68"/>
      <c r="J97" s="95"/>
      <c r="K97" s="96" t="e">
        <f t="shared" si="15"/>
        <v>#DIV/0!</v>
      </c>
      <c r="L97" s="104"/>
      <c r="M97" s="103"/>
      <c r="N97" s="103"/>
      <c r="O97" s="103"/>
      <c r="P97" s="70"/>
      <c r="Q97" s="58"/>
    </row>
    <row r="98" spans="1:17" s="6" customFormat="1" ht="18" hidden="1" customHeight="1">
      <c r="A98" s="30"/>
      <c r="B98" s="46"/>
      <c r="C98" s="94" t="e">
        <f t="shared" si="13"/>
        <v>#N/A</v>
      </c>
      <c r="D98" s="47" t="e">
        <f>VLOOKUP(F98,Sheet2!$A$2:$D$31,4,0)</f>
        <v>#N/A</v>
      </c>
      <c r="E98" s="48" t="e">
        <f>VLOOKUP(F98,Sheet2!$A$2:$D$31,2,0)</f>
        <v>#N/A</v>
      </c>
      <c r="F98" s="48"/>
      <c r="G98" s="49"/>
      <c r="H98" s="50" t="e">
        <f>VLOOKUP(F98,Sheet2!$A$2:$D$31,3,0)</f>
        <v>#N/A</v>
      </c>
      <c r="I98" s="68"/>
      <c r="J98" s="95"/>
      <c r="K98" s="96" t="e">
        <f t="shared" si="15"/>
        <v>#DIV/0!</v>
      </c>
      <c r="L98" s="104"/>
      <c r="M98" s="103"/>
      <c r="N98" s="103"/>
      <c r="O98" s="103"/>
      <c r="P98" s="70"/>
      <c r="Q98" s="58"/>
    </row>
    <row r="99" spans="1:17" s="6" customFormat="1" ht="18" hidden="1" customHeight="1">
      <c r="A99" s="30"/>
      <c r="B99" s="46"/>
      <c r="C99" s="94" t="e">
        <f t="shared" si="13"/>
        <v>#N/A</v>
      </c>
      <c r="D99" s="47" t="e">
        <f>VLOOKUP(F99,Sheet2!$A$2:$D$31,4,0)</f>
        <v>#N/A</v>
      </c>
      <c r="E99" s="48" t="e">
        <f>VLOOKUP(F99,Sheet2!$A$2:$D$31,2,0)</f>
        <v>#N/A</v>
      </c>
      <c r="F99" s="48"/>
      <c r="G99" s="49"/>
      <c r="H99" s="50" t="e">
        <f>VLOOKUP(F99,Sheet2!$A$2:$D$31,3,0)</f>
        <v>#N/A</v>
      </c>
      <c r="I99" s="68"/>
      <c r="J99" s="95"/>
      <c r="K99" s="96" t="e">
        <f t="shared" si="15"/>
        <v>#DIV/0!</v>
      </c>
      <c r="L99" s="104"/>
      <c r="M99" s="103"/>
      <c r="N99" s="103"/>
      <c r="O99" s="103"/>
      <c r="P99" s="70"/>
      <c r="Q99" s="58"/>
    </row>
    <row r="100" spans="1:17" s="6" customFormat="1" ht="18" hidden="1" customHeight="1">
      <c r="A100" s="30"/>
      <c r="B100" s="46"/>
      <c r="C100" s="94" t="e">
        <f t="shared" si="13"/>
        <v>#N/A</v>
      </c>
      <c r="D100" s="47" t="e">
        <f>VLOOKUP(F100,Sheet2!$A$2:$D$31,4,0)</f>
        <v>#N/A</v>
      </c>
      <c r="E100" s="48" t="e">
        <f>VLOOKUP(F100,Sheet2!$A$2:$D$31,2,0)</f>
        <v>#N/A</v>
      </c>
      <c r="F100" s="48"/>
      <c r="G100" s="49"/>
      <c r="H100" s="50" t="e">
        <f>VLOOKUP(F100,Sheet2!$A$2:$D$31,3,0)</f>
        <v>#N/A</v>
      </c>
      <c r="I100" s="68"/>
      <c r="J100" s="69"/>
      <c r="K100" s="96" t="e">
        <f t="shared" si="15"/>
        <v>#DIV/0!</v>
      </c>
      <c r="L100" s="104"/>
      <c r="M100" s="73"/>
      <c r="N100" s="103"/>
      <c r="O100" s="103"/>
      <c r="P100" s="70"/>
      <c r="Q100" s="58"/>
    </row>
    <row r="101" spans="1:17" s="6" customFormat="1" ht="18" hidden="1" customHeight="1">
      <c r="A101" s="30"/>
      <c r="B101" s="46"/>
      <c r="C101" s="94" t="e">
        <f t="shared" si="13"/>
        <v>#N/A</v>
      </c>
      <c r="D101" s="47" t="e">
        <f>VLOOKUP(F101,Sheet2!$A$2:$D$31,4,0)</f>
        <v>#N/A</v>
      </c>
      <c r="E101" s="48" t="e">
        <f>VLOOKUP(F101,Sheet2!$A$2:$D$31,2,0)</f>
        <v>#N/A</v>
      </c>
      <c r="F101" s="48"/>
      <c r="G101" s="49"/>
      <c r="H101" s="50" t="e">
        <f>VLOOKUP(F101,Sheet2!$A$2:$D$31,3,0)</f>
        <v>#N/A</v>
      </c>
      <c r="I101" s="68"/>
      <c r="J101" s="69"/>
      <c r="K101" s="96" t="e">
        <f t="shared" si="15"/>
        <v>#DIV/0!</v>
      </c>
      <c r="L101" s="98"/>
      <c r="M101" s="70"/>
      <c r="N101" s="70"/>
      <c r="O101" s="70"/>
      <c r="P101" s="70"/>
      <c r="Q101" s="58"/>
    </row>
    <row r="102" spans="1:17" s="6" customFormat="1" ht="18" hidden="1" customHeight="1">
      <c r="A102" s="30"/>
      <c r="B102" s="46"/>
      <c r="C102" s="94" t="e">
        <f t="shared" si="13"/>
        <v>#N/A</v>
      </c>
      <c r="D102" s="47" t="e">
        <f>VLOOKUP(F102,Sheet2!$A$2:$D$31,4,0)</f>
        <v>#N/A</v>
      </c>
      <c r="E102" s="48" t="e">
        <f>VLOOKUP(F102,Sheet2!$A$2:$D$31,2,0)</f>
        <v>#N/A</v>
      </c>
      <c r="F102" s="48"/>
      <c r="G102" s="49"/>
      <c r="H102" s="50" t="e">
        <f>VLOOKUP(F102,Sheet2!$A$2:$D$31,3,0)</f>
        <v>#N/A</v>
      </c>
      <c r="I102" s="68"/>
      <c r="J102" s="69"/>
      <c r="K102" s="96" t="e">
        <f t="shared" ref="K102:K105" si="16">L102/G102</f>
        <v>#DIV/0!</v>
      </c>
      <c r="L102" s="98"/>
      <c r="M102" s="70"/>
      <c r="N102" s="70"/>
      <c r="O102" s="70"/>
      <c r="P102" s="70"/>
      <c r="Q102" s="58"/>
    </row>
    <row r="103" spans="1:17" s="6" customFormat="1" ht="18" hidden="1" customHeight="1">
      <c r="A103" s="30"/>
      <c r="B103" s="46"/>
      <c r="C103" s="94" t="e">
        <f t="shared" si="13"/>
        <v>#N/A</v>
      </c>
      <c r="D103" s="47" t="e">
        <f>VLOOKUP(F103,Sheet2!$A$2:$D$31,4,0)</f>
        <v>#N/A</v>
      </c>
      <c r="E103" s="48" t="e">
        <f>VLOOKUP(F103,Sheet2!$A$2:$D$31,2,0)</f>
        <v>#N/A</v>
      </c>
      <c r="F103" s="48"/>
      <c r="G103" s="49"/>
      <c r="H103" s="50" t="e">
        <f>VLOOKUP(F103,Sheet2!$A$2:$D$31,3,0)</f>
        <v>#N/A</v>
      </c>
      <c r="I103" s="68"/>
      <c r="J103" s="69"/>
      <c r="K103" s="96" t="e">
        <f t="shared" si="16"/>
        <v>#DIV/0!</v>
      </c>
      <c r="L103" s="98"/>
      <c r="M103" s="70"/>
      <c r="N103" s="70"/>
      <c r="O103" s="70"/>
      <c r="P103" s="70"/>
      <c r="Q103" s="58"/>
    </row>
    <row r="104" spans="1:17" s="6" customFormat="1" ht="18" hidden="1" customHeight="1">
      <c r="A104" s="30"/>
      <c r="B104" s="46"/>
      <c r="C104" s="94" t="e">
        <f t="shared" si="13"/>
        <v>#N/A</v>
      </c>
      <c r="D104" s="47" t="e">
        <f>VLOOKUP(F104,Sheet2!$A$2:$D$31,4,0)</f>
        <v>#N/A</v>
      </c>
      <c r="E104" s="48" t="e">
        <f>VLOOKUP(F104,Sheet2!$A$2:$D$31,2,0)</f>
        <v>#N/A</v>
      </c>
      <c r="F104" s="48"/>
      <c r="G104" s="49"/>
      <c r="H104" s="50" t="e">
        <f>VLOOKUP(F104,Sheet2!$A$2:$D$31,3,0)</f>
        <v>#N/A</v>
      </c>
      <c r="I104" s="68"/>
      <c r="J104" s="69"/>
      <c r="K104" s="96" t="e">
        <f t="shared" si="16"/>
        <v>#DIV/0!</v>
      </c>
      <c r="L104" s="98"/>
      <c r="M104" s="70"/>
      <c r="N104" s="70"/>
      <c r="O104" s="70"/>
      <c r="P104" s="70"/>
      <c r="Q104" s="58"/>
    </row>
    <row r="105" spans="1:17" s="6" customFormat="1" ht="18" hidden="1" customHeight="1">
      <c r="A105" s="30"/>
      <c r="B105" s="46"/>
      <c r="C105" s="94" t="e">
        <f t="shared" si="13"/>
        <v>#N/A</v>
      </c>
      <c r="D105" s="47" t="e">
        <f>VLOOKUP(F105,Sheet2!$A$2:$D$31,4,0)</f>
        <v>#N/A</v>
      </c>
      <c r="E105" s="48" t="e">
        <f>VLOOKUP(F105,Sheet2!$A$2:$D$31,2,0)</f>
        <v>#N/A</v>
      </c>
      <c r="F105" s="48"/>
      <c r="G105" s="49"/>
      <c r="H105" s="50" t="e">
        <f>VLOOKUP(F105,Sheet2!$A$2:$D$31,3,0)</f>
        <v>#N/A</v>
      </c>
      <c r="I105" s="68"/>
      <c r="J105" s="69"/>
      <c r="K105" s="96" t="e">
        <f t="shared" si="16"/>
        <v>#DIV/0!</v>
      </c>
      <c r="L105" s="98"/>
      <c r="M105" s="70"/>
      <c r="N105" s="70"/>
      <c r="O105" s="70"/>
      <c r="P105" s="70"/>
      <c r="Q105" s="58"/>
    </row>
    <row r="106" spans="1:17" s="6" customFormat="1" ht="18" hidden="1" customHeight="1">
      <c r="A106" s="30"/>
      <c r="B106" s="46"/>
      <c r="C106" s="94" t="e">
        <f t="shared" si="13"/>
        <v>#N/A</v>
      </c>
      <c r="D106" s="47" t="e">
        <f>VLOOKUP(F106,Sheet2!$A$2:$D$31,4,0)</f>
        <v>#N/A</v>
      </c>
      <c r="E106" s="48" t="e">
        <f>VLOOKUP(F106,Sheet2!$A$2:$D$31,2,0)</f>
        <v>#N/A</v>
      </c>
      <c r="F106" s="48"/>
      <c r="G106" s="49"/>
      <c r="H106" s="50" t="e">
        <f>VLOOKUP(F106,Sheet2!$A$2:$D$31,3,0)</f>
        <v>#N/A</v>
      </c>
      <c r="I106" s="68"/>
      <c r="J106" s="95"/>
      <c r="K106" s="96" t="e">
        <f t="shared" si="15"/>
        <v>#DIV/0!</v>
      </c>
      <c r="L106" s="104"/>
      <c r="M106" s="103"/>
      <c r="N106" s="103"/>
      <c r="O106" s="103"/>
      <c r="P106" s="70"/>
      <c r="Q106" s="58"/>
    </row>
    <row r="107" spans="1:17" s="6" customFormat="1" ht="18" hidden="1" customHeight="1">
      <c r="A107" s="30"/>
      <c r="B107" s="46"/>
      <c r="C107" s="94" t="e">
        <f t="shared" si="13"/>
        <v>#N/A</v>
      </c>
      <c r="D107" s="47" t="e">
        <f>VLOOKUP(F107,Sheet2!$A$2:$D$31,4,0)</f>
        <v>#N/A</v>
      </c>
      <c r="E107" s="48" t="e">
        <f>VLOOKUP(F107,Sheet2!$A$2:$D$31,2,0)</f>
        <v>#N/A</v>
      </c>
      <c r="F107" s="48"/>
      <c r="G107" s="49"/>
      <c r="H107" s="50" t="e">
        <f>VLOOKUP(F107,Sheet2!$A$2:$D$31,3,0)</f>
        <v>#N/A</v>
      </c>
      <c r="I107" s="68"/>
      <c r="J107" s="95"/>
      <c r="K107" s="96" t="e">
        <f t="shared" si="15"/>
        <v>#DIV/0!</v>
      </c>
      <c r="L107" s="104"/>
      <c r="M107" s="103"/>
      <c r="N107" s="103"/>
      <c r="O107" s="103"/>
      <c r="P107" s="70"/>
      <c r="Q107" s="58"/>
    </row>
    <row r="108" spans="1:17" s="6" customFormat="1" ht="18" hidden="1" customHeight="1">
      <c r="A108" s="30"/>
      <c r="B108" s="46"/>
      <c r="C108" s="94" t="e">
        <f t="shared" si="13"/>
        <v>#N/A</v>
      </c>
      <c r="D108" s="47" t="e">
        <f>VLOOKUP(F108,Sheet2!$A$2:$D$31,4,0)</f>
        <v>#N/A</v>
      </c>
      <c r="E108" s="48" t="e">
        <f>VLOOKUP(F108,Sheet2!$A$2:$D$31,2,0)</f>
        <v>#N/A</v>
      </c>
      <c r="F108" s="48"/>
      <c r="G108" s="49"/>
      <c r="H108" s="50" t="e">
        <f>VLOOKUP(F108,Sheet2!$A$2:$D$31,3,0)</f>
        <v>#N/A</v>
      </c>
      <c r="I108" s="68"/>
      <c r="J108" s="95"/>
      <c r="K108" s="96" t="e">
        <f t="shared" si="15"/>
        <v>#DIV/0!</v>
      </c>
      <c r="L108" s="104"/>
      <c r="M108" s="103"/>
      <c r="N108" s="103"/>
      <c r="O108" s="103"/>
      <c r="P108" s="70"/>
      <c r="Q108" s="58"/>
    </row>
    <row r="109" spans="1:17" s="6" customFormat="1" ht="18" hidden="1" customHeight="1">
      <c r="A109" s="30"/>
      <c r="B109" s="46"/>
      <c r="C109" s="94" t="e">
        <f t="shared" si="13"/>
        <v>#N/A</v>
      </c>
      <c r="D109" s="47" t="e">
        <f>VLOOKUP(F109,Sheet2!$A$2:$D$31,4,0)</f>
        <v>#N/A</v>
      </c>
      <c r="E109" s="48" t="e">
        <f>VLOOKUP(F109,Sheet2!$A$2:$D$31,2,0)</f>
        <v>#N/A</v>
      </c>
      <c r="F109" s="48"/>
      <c r="G109" s="49"/>
      <c r="H109" s="50" t="e">
        <f>VLOOKUP(F109,Sheet2!$A$2:$D$31,3,0)</f>
        <v>#N/A</v>
      </c>
      <c r="I109" s="68"/>
      <c r="J109" s="95"/>
      <c r="K109" s="96" t="e">
        <f t="shared" si="15"/>
        <v>#DIV/0!</v>
      </c>
      <c r="L109" s="104"/>
      <c r="M109" s="103"/>
      <c r="N109" s="103"/>
      <c r="O109" s="103"/>
      <c r="P109" s="70"/>
      <c r="Q109" s="58"/>
    </row>
    <row r="110" spans="1:17" s="6" customFormat="1" ht="18" hidden="1" customHeight="1">
      <c r="A110" s="30"/>
      <c r="B110" s="46"/>
      <c r="C110" s="94" t="e">
        <f t="shared" si="13"/>
        <v>#N/A</v>
      </c>
      <c r="D110" s="47" t="e">
        <f>VLOOKUP(F110,Sheet2!$A$2:$D$31,4,0)</f>
        <v>#N/A</v>
      </c>
      <c r="E110" s="48" t="e">
        <f>VLOOKUP(F110,Sheet2!$A$2:$D$31,2,0)</f>
        <v>#N/A</v>
      </c>
      <c r="F110" s="48"/>
      <c r="G110" s="49"/>
      <c r="H110" s="50" t="e">
        <f>VLOOKUP(F110,Sheet2!$A$2:$D$31,3,0)</f>
        <v>#N/A</v>
      </c>
      <c r="I110" s="68"/>
      <c r="J110" s="69"/>
      <c r="K110" s="96" t="e">
        <f t="shared" si="15"/>
        <v>#DIV/0!</v>
      </c>
      <c r="L110" s="104"/>
      <c r="M110" s="73"/>
      <c r="N110" s="103"/>
      <c r="O110" s="103"/>
      <c r="P110" s="70"/>
      <c r="Q110" s="58"/>
    </row>
    <row r="111" spans="1:17" s="6" customFormat="1" ht="18" hidden="1" customHeight="1">
      <c r="A111" s="30"/>
      <c r="B111" s="46"/>
      <c r="C111" s="94" t="e">
        <f t="shared" si="13"/>
        <v>#N/A</v>
      </c>
      <c r="D111" s="47" t="e">
        <f>VLOOKUP(F111,Sheet2!$A$2:$D$31,4,0)</f>
        <v>#N/A</v>
      </c>
      <c r="E111" s="48" t="e">
        <f>VLOOKUP(F111,Sheet2!$A$2:$D$31,2,0)</f>
        <v>#N/A</v>
      </c>
      <c r="F111" s="48"/>
      <c r="G111" s="49"/>
      <c r="H111" s="50" t="e">
        <f>VLOOKUP(F111,Sheet2!$A$2:$D$31,3,0)</f>
        <v>#N/A</v>
      </c>
      <c r="I111" s="68"/>
      <c r="J111" s="95"/>
      <c r="K111" s="96" t="e">
        <f t="shared" si="15"/>
        <v>#DIV/0!</v>
      </c>
      <c r="L111" s="104"/>
      <c r="M111" s="103"/>
      <c r="N111" s="103"/>
      <c r="O111" s="103"/>
      <c r="P111" s="70"/>
      <c r="Q111" s="58"/>
    </row>
    <row r="112" spans="1:17" s="6" customFormat="1" ht="18" hidden="1" customHeight="1">
      <c r="A112" s="30"/>
      <c r="B112" s="46"/>
      <c r="C112" s="94" t="e">
        <f t="shared" si="13"/>
        <v>#N/A</v>
      </c>
      <c r="D112" s="47" t="e">
        <f>VLOOKUP(F112,Sheet2!$A$2:$D$31,4,0)</f>
        <v>#N/A</v>
      </c>
      <c r="E112" s="48" t="e">
        <f>VLOOKUP(F112,Sheet2!$A$2:$D$31,2,0)</f>
        <v>#N/A</v>
      </c>
      <c r="F112" s="48"/>
      <c r="G112" s="49"/>
      <c r="H112" s="50" t="e">
        <f>VLOOKUP(F112,Sheet2!$A$2:$D$31,3,0)</f>
        <v>#N/A</v>
      </c>
      <c r="I112" s="68"/>
      <c r="J112" s="95"/>
      <c r="K112" s="96" t="e">
        <f t="shared" si="15"/>
        <v>#DIV/0!</v>
      </c>
      <c r="L112" s="104"/>
      <c r="M112" s="103"/>
      <c r="N112" s="103"/>
      <c r="O112" s="103"/>
      <c r="P112" s="70"/>
      <c r="Q112" s="58"/>
    </row>
    <row r="113" spans="1:17" s="6" customFormat="1" ht="22.5" hidden="1" customHeight="1" thickBot="1">
      <c r="A113" s="30"/>
      <c r="B113" s="51"/>
      <c r="C113" s="99"/>
      <c r="D113" s="52"/>
      <c r="E113" s="53" t="s">
        <v>38</v>
      </c>
      <c r="F113" s="53"/>
      <c r="G113" s="54">
        <f>SUM(G93:G112)</f>
        <v>0</v>
      </c>
      <c r="H113" s="55"/>
      <c r="I113" s="71">
        <f>SUM(I93:I112)</f>
        <v>0</v>
      </c>
      <c r="J113" s="72">
        <f>SUM(J93:J112)</f>
        <v>0</v>
      </c>
      <c r="K113" s="71"/>
      <c r="L113" s="100">
        <f>SUM(L93:L112)</f>
        <v>0</v>
      </c>
      <c r="M113" s="101">
        <f>SUM(M93:M112)</f>
        <v>0</v>
      </c>
      <c r="N113" s="101"/>
      <c r="O113" s="101"/>
      <c r="P113" s="101">
        <f>SUM(P93:P112)</f>
        <v>0</v>
      </c>
      <c r="Q113" s="58"/>
    </row>
    <row r="114" spans="1:17" s="6" customFormat="1" ht="15" hidden="1" customHeight="1">
      <c r="A114" s="39"/>
      <c r="B114" s="21"/>
      <c r="C114" s="102"/>
      <c r="D114" s="21"/>
      <c r="E114" s="21"/>
      <c r="F114" s="21"/>
      <c r="G114" s="21"/>
      <c r="H114" s="24"/>
      <c r="I114" s="30"/>
      <c r="J114" s="21"/>
      <c r="K114" s="30"/>
      <c r="L114" s="30"/>
      <c r="M114" s="21"/>
      <c r="N114" s="21"/>
      <c r="O114" s="21"/>
      <c r="P114" s="58"/>
      <c r="Q114" s="58"/>
    </row>
    <row r="115" spans="1:17" s="6" customFormat="1" ht="25.5" hidden="1" customHeight="1" thickBot="1">
      <c r="A115" s="30"/>
      <c r="B115" s="40" t="s">
        <v>43</v>
      </c>
      <c r="C115" s="102"/>
      <c r="D115" s="41"/>
      <c r="E115" s="21"/>
      <c r="F115" s="21"/>
      <c r="G115" s="21"/>
      <c r="H115" s="21"/>
      <c r="I115" s="63"/>
      <c r="J115" s="13"/>
      <c r="K115" s="64"/>
      <c r="L115" s="64"/>
      <c r="M115" s="65"/>
      <c r="N115" s="65"/>
      <c r="O115" s="65"/>
      <c r="P115" s="66"/>
      <c r="Q115" s="58"/>
    </row>
    <row r="116" spans="1:17" s="6" customFormat="1" ht="39" hidden="1" customHeight="1">
      <c r="A116" s="42"/>
      <c r="B116" s="43" t="s">
        <v>27</v>
      </c>
      <c r="C116" s="44" t="s">
        <v>28</v>
      </c>
      <c r="D116" s="44" t="s">
        <v>29</v>
      </c>
      <c r="E116" s="45" t="s">
        <v>30</v>
      </c>
      <c r="F116" s="45" t="s">
        <v>31</v>
      </c>
      <c r="G116" s="414" t="s">
        <v>32</v>
      </c>
      <c r="H116" s="414"/>
      <c r="I116" s="45" t="s">
        <v>33</v>
      </c>
      <c r="J116" s="67" t="s">
        <v>34</v>
      </c>
      <c r="K116" s="92" t="s">
        <v>35</v>
      </c>
      <c r="L116" s="92" t="s">
        <v>36</v>
      </c>
      <c r="M116" s="93" t="s">
        <v>37</v>
      </c>
      <c r="N116" s="93"/>
      <c r="O116" s="93"/>
      <c r="P116" s="93" t="s">
        <v>120</v>
      </c>
      <c r="Q116" s="58"/>
    </row>
    <row r="117" spans="1:17" s="6" customFormat="1" ht="18" hidden="1" customHeight="1">
      <c r="A117" s="30"/>
      <c r="B117" s="46"/>
      <c r="C117" s="94" t="e">
        <f t="shared" ref="C117:C136" si="17">CONCATENATE("MFGG","-",MID(E117,1,3),MID(E117,10,1),"-","IDD")</f>
        <v>#N/A</v>
      </c>
      <c r="D117" s="47" t="e">
        <f>VLOOKUP(F117,Sheet2!$A$2:$D$31,4,0)</f>
        <v>#N/A</v>
      </c>
      <c r="E117" s="48" t="e">
        <f>VLOOKUP(F117,Sheet2!$A$2:$D$31,2,0)</f>
        <v>#N/A</v>
      </c>
      <c r="F117" s="48"/>
      <c r="G117" s="49"/>
      <c r="H117" s="50" t="e">
        <f>VLOOKUP(F117,Sheet2!$A$2:$D$31,3,0)</f>
        <v>#N/A</v>
      </c>
      <c r="I117" s="68"/>
      <c r="J117" s="95"/>
      <c r="K117" s="96" t="e">
        <f t="shared" ref="K117:K123" si="18">L117/G117</f>
        <v>#DIV/0!</v>
      </c>
      <c r="L117" s="104"/>
      <c r="M117" s="103"/>
      <c r="N117" s="103"/>
      <c r="O117" s="103"/>
      <c r="P117" s="70"/>
      <c r="Q117" s="58"/>
    </row>
    <row r="118" spans="1:17" s="6" customFormat="1" ht="18" hidden="1" customHeight="1">
      <c r="A118" s="30"/>
      <c r="B118" s="46"/>
      <c r="C118" s="94" t="e">
        <f t="shared" si="17"/>
        <v>#N/A</v>
      </c>
      <c r="D118" s="47" t="e">
        <f>VLOOKUP(F118,Sheet2!$A$2:$D$31,4,0)</f>
        <v>#N/A</v>
      </c>
      <c r="E118" s="48" t="e">
        <f>VLOOKUP(F118,Sheet2!$A$2:$D$31,2,0)</f>
        <v>#N/A</v>
      </c>
      <c r="F118" s="48"/>
      <c r="G118" s="49"/>
      <c r="H118" s="50" t="e">
        <f>VLOOKUP(F118,Sheet2!$A$2:$D$31,3,0)</f>
        <v>#N/A</v>
      </c>
      <c r="I118" s="68"/>
      <c r="J118" s="95"/>
      <c r="K118" s="96" t="e">
        <f t="shared" si="18"/>
        <v>#DIV/0!</v>
      </c>
      <c r="L118" s="104"/>
      <c r="M118" s="103"/>
      <c r="N118" s="103"/>
      <c r="O118" s="103"/>
      <c r="P118" s="70"/>
      <c r="Q118" s="58"/>
    </row>
    <row r="119" spans="1:17" s="6" customFormat="1" ht="18" hidden="1" customHeight="1">
      <c r="A119" s="30"/>
      <c r="B119" s="46"/>
      <c r="C119" s="94" t="e">
        <f t="shared" si="17"/>
        <v>#N/A</v>
      </c>
      <c r="D119" s="47" t="e">
        <f>VLOOKUP(F119,Sheet2!$A$2:$D$31,4,0)</f>
        <v>#N/A</v>
      </c>
      <c r="E119" s="48" t="e">
        <f>VLOOKUP(F119,Sheet2!$A$2:$D$31,2,0)</f>
        <v>#N/A</v>
      </c>
      <c r="F119" s="48"/>
      <c r="G119" s="49"/>
      <c r="H119" s="50" t="e">
        <f>VLOOKUP(F119,Sheet2!$A$2:$D$31,3,0)</f>
        <v>#N/A</v>
      </c>
      <c r="I119" s="68"/>
      <c r="J119" s="69"/>
      <c r="K119" s="96" t="e">
        <f t="shared" si="18"/>
        <v>#DIV/0!</v>
      </c>
      <c r="L119" s="104"/>
      <c r="M119" s="73"/>
      <c r="N119" s="103"/>
      <c r="O119" s="103"/>
      <c r="P119" s="70"/>
      <c r="Q119" s="58"/>
    </row>
    <row r="120" spans="1:17" s="6" customFormat="1" ht="18" hidden="1" customHeight="1">
      <c r="A120" s="30"/>
      <c r="B120" s="46"/>
      <c r="C120" s="94" t="e">
        <f t="shared" si="17"/>
        <v>#N/A</v>
      </c>
      <c r="D120" s="47" t="e">
        <f>VLOOKUP(F120,Sheet2!$A$2:$D$31,4,0)</f>
        <v>#N/A</v>
      </c>
      <c r="E120" s="48" t="e">
        <f>VLOOKUP(F120,Sheet2!$A$2:$D$31,2,0)</f>
        <v>#N/A</v>
      </c>
      <c r="F120" s="48"/>
      <c r="G120" s="49"/>
      <c r="H120" s="50" t="e">
        <f>VLOOKUP(F120,Sheet2!$A$2:$D$31,3,0)</f>
        <v>#N/A</v>
      </c>
      <c r="I120" s="68"/>
      <c r="J120" s="95"/>
      <c r="K120" s="96" t="e">
        <f t="shared" si="18"/>
        <v>#DIV/0!</v>
      </c>
      <c r="L120" s="104"/>
      <c r="M120" s="103"/>
      <c r="N120" s="103"/>
      <c r="O120" s="103"/>
      <c r="P120" s="70"/>
      <c r="Q120" s="58"/>
    </row>
    <row r="121" spans="1:17" s="6" customFormat="1" ht="18" hidden="1" customHeight="1">
      <c r="A121" s="30"/>
      <c r="B121" s="46"/>
      <c r="C121" s="94" t="e">
        <f t="shared" si="17"/>
        <v>#N/A</v>
      </c>
      <c r="D121" s="47" t="e">
        <f>VLOOKUP(F121,Sheet2!$A$2:$D$31,4,0)</f>
        <v>#N/A</v>
      </c>
      <c r="E121" s="48" t="e">
        <f>VLOOKUP(F121,Sheet2!$A$2:$D$31,2,0)</f>
        <v>#N/A</v>
      </c>
      <c r="F121" s="48"/>
      <c r="G121" s="49"/>
      <c r="H121" s="50" t="e">
        <f>VLOOKUP(F121,Sheet2!$A$2:$D$31,3,0)</f>
        <v>#N/A</v>
      </c>
      <c r="I121" s="68"/>
      <c r="J121" s="95"/>
      <c r="K121" s="96" t="e">
        <f t="shared" si="18"/>
        <v>#DIV/0!</v>
      </c>
      <c r="L121" s="104"/>
      <c r="M121" s="103"/>
      <c r="N121" s="103"/>
      <c r="O121" s="103"/>
      <c r="P121" s="70"/>
      <c r="Q121" s="58"/>
    </row>
    <row r="122" spans="1:17" s="6" customFormat="1" ht="18" hidden="1" customHeight="1">
      <c r="A122" s="30"/>
      <c r="B122" s="46"/>
      <c r="C122" s="94" t="e">
        <f t="shared" si="17"/>
        <v>#N/A</v>
      </c>
      <c r="D122" s="47" t="e">
        <f>VLOOKUP(F122,Sheet2!$A$2:$D$31,4,0)</f>
        <v>#N/A</v>
      </c>
      <c r="E122" s="48" t="e">
        <f>VLOOKUP(F122,Sheet2!$A$2:$D$31,2,0)</f>
        <v>#N/A</v>
      </c>
      <c r="F122" s="48"/>
      <c r="G122" s="49"/>
      <c r="H122" s="50" t="e">
        <f>VLOOKUP(F122,Sheet2!$A$2:$D$31,3,0)</f>
        <v>#N/A</v>
      </c>
      <c r="I122" s="68"/>
      <c r="J122" s="95"/>
      <c r="K122" s="96" t="e">
        <f t="shared" si="18"/>
        <v>#DIV/0!</v>
      </c>
      <c r="L122" s="104"/>
      <c r="M122" s="103"/>
      <c r="N122" s="103"/>
      <c r="O122" s="103"/>
      <c r="P122" s="70"/>
      <c r="Q122" s="58"/>
    </row>
    <row r="123" spans="1:17" s="6" customFormat="1" ht="18" hidden="1" customHeight="1">
      <c r="A123" s="30"/>
      <c r="B123" s="46"/>
      <c r="C123" s="94" t="e">
        <f t="shared" si="17"/>
        <v>#N/A</v>
      </c>
      <c r="D123" s="47" t="e">
        <f>VLOOKUP(F123,Sheet2!$A$2:$D$31,4,0)</f>
        <v>#N/A</v>
      </c>
      <c r="E123" s="48" t="e">
        <f>VLOOKUP(F123,Sheet2!$A$2:$D$31,2,0)</f>
        <v>#N/A</v>
      </c>
      <c r="F123" s="48"/>
      <c r="G123" s="49"/>
      <c r="H123" s="50" t="e">
        <f>VLOOKUP(F123,Sheet2!$A$2:$D$31,3,0)</f>
        <v>#N/A</v>
      </c>
      <c r="I123" s="68"/>
      <c r="J123" s="95"/>
      <c r="K123" s="96" t="e">
        <f t="shared" si="18"/>
        <v>#DIV/0!</v>
      </c>
      <c r="L123" s="104"/>
      <c r="M123" s="103"/>
      <c r="N123" s="103"/>
      <c r="O123" s="103"/>
      <c r="P123" s="70"/>
      <c r="Q123" s="58"/>
    </row>
    <row r="124" spans="1:17" s="6" customFormat="1" ht="18" hidden="1" customHeight="1">
      <c r="A124" s="30"/>
      <c r="B124" s="46"/>
      <c r="C124" s="94" t="e">
        <f t="shared" si="17"/>
        <v>#N/A</v>
      </c>
      <c r="D124" s="47" t="e">
        <f>VLOOKUP(F124,Sheet2!$A$2:$D$31,4,0)</f>
        <v>#N/A</v>
      </c>
      <c r="E124" s="48" t="e">
        <f>VLOOKUP(F124,Sheet2!$A$2:$D$31,2,0)</f>
        <v>#N/A</v>
      </c>
      <c r="F124" s="48"/>
      <c r="G124" s="49"/>
      <c r="H124" s="50" t="e">
        <f>VLOOKUP(F124,Sheet2!$A$2:$D$31,3,0)</f>
        <v>#N/A</v>
      </c>
      <c r="I124" s="68"/>
      <c r="J124" s="95"/>
      <c r="K124" s="96" t="e">
        <f t="shared" ref="K124:K127" si="19">L124/G124</f>
        <v>#DIV/0!</v>
      </c>
      <c r="L124" s="104"/>
      <c r="M124" s="103"/>
      <c r="N124" s="103"/>
      <c r="O124" s="103"/>
      <c r="P124" s="70"/>
      <c r="Q124" s="58"/>
    </row>
    <row r="125" spans="1:17" s="6" customFormat="1" ht="18" hidden="1" customHeight="1">
      <c r="A125" s="30"/>
      <c r="B125" s="46"/>
      <c r="C125" s="94" t="e">
        <f t="shared" si="17"/>
        <v>#N/A</v>
      </c>
      <c r="D125" s="47" t="e">
        <f>VLOOKUP(F125,Sheet2!$A$2:$D$31,4,0)</f>
        <v>#N/A</v>
      </c>
      <c r="E125" s="48" t="e">
        <f>VLOOKUP(F125,Sheet2!$A$2:$D$31,2,0)</f>
        <v>#N/A</v>
      </c>
      <c r="F125" s="48"/>
      <c r="G125" s="49"/>
      <c r="H125" s="50" t="e">
        <f>VLOOKUP(F125,Sheet2!$A$2:$D$31,3,0)</f>
        <v>#N/A</v>
      </c>
      <c r="I125" s="68"/>
      <c r="J125" s="95"/>
      <c r="K125" s="96" t="e">
        <f t="shared" si="19"/>
        <v>#DIV/0!</v>
      </c>
      <c r="L125" s="104"/>
      <c r="M125" s="103"/>
      <c r="N125" s="103"/>
      <c r="O125" s="103"/>
      <c r="P125" s="70"/>
      <c r="Q125" s="58"/>
    </row>
    <row r="126" spans="1:17" s="6" customFormat="1" ht="18" hidden="1" customHeight="1">
      <c r="A126" s="30"/>
      <c r="B126" s="46"/>
      <c r="C126" s="94" t="e">
        <f t="shared" si="17"/>
        <v>#N/A</v>
      </c>
      <c r="D126" s="47" t="e">
        <f>VLOOKUP(F126,Sheet2!$A$2:$D$31,4,0)</f>
        <v>#N/A</v>
      </c>
      <c r="E126" s="48" t="e">
        <f>VLOOKUP(F126,Sheet2!$A$2:$D$31,2,0)</f>
        <v>#N/A</v>
      </c>
      <c r="F126" s="48"/>
      <c r="G126" s="49"/>
      <c r="H126" s="50" t="e">
        <f>VLOOKUP(F126,Sheet2!$A$2:$D$31,3,0)</f>
        <v>#N/A</v>
      </c>
      <c r="I126" s="68"/>
      <c r="J126" s="95"/>
      <c r="K126" s="96" t="e">
        <f t="shared" si="19"/>
        <v>#DIV/0!</v>
      </c>
      <c r="L126" s="104"/>
      <c r="M126" s="103"/>
      <c r="N126" s="103"/>
      <c r="O126" s="103"/>
      <c r="P126" s="70"/>
      <c r="Q126" s="58"/>
    </row>
    <row r="127" spans="1:17" s="6" customFormat="1" ht="18" hidden="1" customHeight="1">
      <c r="A127" s="30"/>
      <c r="B127" s="46"/>
      <c r="C127" s="94" t="e">
        <f t="shared" si="17"/>
        <v>#N/A</v>
      </c>
      <c r="D127" s="47" t="e">
        <f>VLOOKUP(F127,Sheet2!$A$2:$D$31,4,0)</f>
        <v>#N/A</v>
      </c>
      <c r="E127" s="48" t="e">
        <f>VLOOKUP(F127,Sheet2!$A$2:$D$31,2,0)</f>
        <v>#N/A</v>
      </c>
      <c r="F127" s="48"/>
      <c r="G127" s="49"/>
      <c r="H127" s="50" t="e">
        <f>VLOOKUP(F127,Sheet2!$A$2:$D$31,3,0)</f>
        <v>#N/A</v>
      </c>
      <c r="I127" s="68"/>
      <c r="J127" s="95"/>
      <c r="K127" s="96" t="e">
        <f t="shared" si="19"/>
        <v>#DIV/0!</v>
      </c>
      <c r="L127" s="104"/>
      <c r="M127" s="103"/>
      <c r="N127" s="103"/>
      <c r="O127" s="103"/>
      <c r="P127" s="70"/>
      <c r="Q127" s="58"/>
    </row>
    <row r="128" spans="1:17" s="6" customFormat="1" ht="18" hidden="1" customHeight="1">
      <c r="A128" s="30"/>
      <c r="B128" s="46"/>
      <c r="C128" s="94" t="e">
        <f t="shared" si="17"/>
        <v>#N/A</v>
      </c>
      <c r="D128" s="47" t="e">
        <f>VLOOKUP(F128,Sheet2!$A$2:$D$31,4,0)</f>
        <v>#N/A</v>
      </c>
      <c r="E128" s="48" t="e">
        <f>VLOOKUP(F128,Sheet2!$A$2:$D$31,2,0)</f>
        <v>#N/A</v>
      </c>
      <c r="F128" s="48"/>
      <c r="G128" s="49"/>
      <c r="H128" s="50" t="e">
        <f>VLOOKUP(F128,Sheet2!$A$2:$D$31,3,0)</f>
        <v>#N/A</v>
      </c>
      <c r="I128" s="68"/>
      <c r="J128" s="69"/>
      <c r="K128" s="96" t="e">
        <f t="shared" ref="K128:K136" si="20">L128/G128</f>
        <v>#DIV/0!</v>
      </c>
      <c r="L128" s="104"/>
      <c r="M128" s="73"/>
      <c r="N128" s="103"/>
      <c r="O128" s="103"/>
      <c r="P128" s="70"/>
      <c r="Q128" s="58"/>
    </row>
    <row r="129" spans="1:17" s="6" customFormat="1" ht="18" hidden="1" customHeight="1">
      <c r="A129" s="30"/>
      <c r="B129" s="46"/>
      <c r="C129" s="94" t="e">
        <f t="shared" si="17"/>
        <v>#N/A</v>
      </c>
      <c r="D129" s="47" t="e">
        <f>VLOOKUP(F129,Sheet2!$A$2:$D$31,4,0)</f>
        <v>#N/A</v>
      </c>
      <c r="E129" s="48" t="e">
        <f>VLOOKUP(F129,Sheet2!$A$2:$D$31,2,0)</f>
        <v>#N/A</v>
      </c>
      <c r="F129" s="48"/>
      <c r="G129" s="49"/>
      <c r="H129" s="50" t="e">
        <f>VLOOKUP(F129,Sheet2!$A$2:$D$31,3,0)</f>
        <v>#N/A</v>
      </c>
      <c r="I129" s="68"/>
      <c r="J129" s="69"/>
      <c r="K129" s="96" t="e">
        <f t="shared" ref="K129:K134" si="21">L129/G129</f>
        <v>#DIV/0!</v>
      </c>
      <c r="L129" s="104"/>
      <c r="M129" s="73"/>
      <c r="N129" s="103"/>
      <c r="O129" s="103"/>
      <c r="P129" s="70"/>
      <c r="Q129" s="58"/>
    </row>
    <row r="130" spans="1:17" s="6" customFormat="1" ht="18" hidden="1" customHeight="1">
      <c r="A130" s="30"/>
      <c r="B130" s="46"/>
      <c r="C130" s="94" t="e">
        <f t="shared" si="17"/>
        <v>#N/A</v>
      </c>
      <c r="D130" s="47" t="e">
        <f>VLOOKUP(F130,Sheet2!$A$2:$D$31,4,0)</f>
        <v>#N/A</v>
      </c>
      <c r="E130" s="48" t="e">
        <f>VLOOKUP(F130,Sheet2!$A$2:$D$31,2,0)</f>
        <v>#N/A</v>
      </c>
      <c r="F130" s="48"/>
      <c r="G130" s="49"/>
      <c r="H130" s="50" t="e">
        <f>VLOOKUP(F130,Sheet2!$A$2:$D$31,3,0)</f>
        <v>#N/A</v>
      </c>
      <c r="I130" s="68"/>
      <c r="J130" s="95"/>
      <c r="K130" s="96" t="e">
        <f t="shared" si="21"/>
        <v>#DIV/0!</v>
      </c>
      <c r="L130" s="104"/>
      <c r="M130" s="103"/>
      <c r="N130" s="103"/>
      <c r="O130" s="103"/>
      <c r="P130" s="70"/>
      <c r="Q130" s="58"/>
    </row>
    <row r="131" spans="1:17" s="6" customFormat="1" ht="18" hidden="1" customHeight="1">
      <c r="A131" s="30"/>
      <c r="B131" s="46"/>
      <c r="C131" s="94" t="e">
        <f t="shared" si="17"/>
        <v>#N/A</v>
      </c>
      <c r="D131" s="47" t="e">
        <f>VLOOKUP(F131,Sheet2!$A$2:$D$31,4,0)</f>
        <v>#N/A</v>
      </c>
      <c r="E131" s="48" t="e">
        <f>VLOOKUP(F131,Sheet2!$A$2:$D$31,2,0)</f>
        <v>#N/A</v>
      </c>
      <c r="F131" s="48"/>
      <c r="G131" s="49"/>
      <c r="H131" s="50" t="e">
        <f>VLOOKUP(F131,Sheet2!$A$2:$D$31,3,0)</f>
        <v>#N/A</v>
      </c>
      <c r="I131" s="68"/>
      <c r="J131" s="95"/>
      <c r="K131" s="96" t="e">
        <f t="shared" si="21"/>
        <v>#DIV/0!</v>
      </c>
      <c r="L131" s="104"/>
      <c r="M131" s="103"/>
      <c r="N131" s="103"/>
      <c r="O131" s="103"/>
      <c r="P131" s="70"/>
      <c r="Q131" s="58"/>
    </row>
    <row r="132" spans="1:17" s="6" customFormat="1" ht="18" hidden="1" customHeight="1">
      <c r="A132" s="30"/>
      <c r="B132" s="46"/>
      <c r="C132" s="94" t="e">
        <f t="shared" si="17"/>
        <v>#N/A</v>
      </c>
      <c r="D132" s="47" t="e">
        <f>VLOOKUP(F132,Sheet2!$A$2:$D$31,4,0)</f>
        <v>#N/A</v>
      </c>
      <c r="E132" s="48" t="e">
        <f>VLOOKUP(F132,Sheet2!$A$2:$D$31,2,0)</f>
        <v>#N/A</v>
      </c>
      <c r="F132" s="48"/>
      <c r="G132" s="49"/>
      <c r="H132" s="50" t="e">
        <f>VLOOKUP(F132,Sheet2!$A$2:$D$31,3,0)</f>
        <v>#N/A</v>
      </c>
      <c r="I132" s="68"/>
      <c r="J132" s="95"/>
      <c r="K132" s="96" t="e">
        <f t="shared" si="21"/>
        <v>#DIV/0!</v>
      </c>
      <c r="L132" s="104"/>
      <c r="M132" s="103"/>
      <c r="N132" s="103"/>
      <c r="O132" s="103"/>
      <c r="P132" s="70"/>
      <c r="Q132" s="58"/>
    </row>
    <row r="133" spans="1:17" s="6" customFormat="1" ht="18" hidden="1" customHeight="1">
      <c r="A133" s="30"/>
      <c r="B133" s="46"/>
      <c r="C133" s="94" t="e">
        <f t="shared" si="17"/>
        <v>#N/A</v>
      </c>
      <c r="D133" s="47" t="e">
        <f>VLOOKUP(F133,Sheet2!$A$2:$D$31,4,0)</f>
        <v>#N/A</v>
      </c>
      <c r="E133" s="48" t="e">
        <f>VLOOKUP(F133,Sheet2!$A$2:$D$31,2,0)</f>
        <v>#N/A</v>
      </c>
      <c r="F133" s="48"/>
      <c r="G133" s="49"/>
      <c r="H133" s="50" t="e">
        <f>VLOOKUP(F133,Sheet2!$A$2:$D$31,3,0)</f>
        <v>#N/A</v>
      </c>
      <c r="I133" s="68"/>
      <c r="J133" s="95"/>
      <c r="K133" s="96" t="e">
        <f t="shared" si="21"/>
        <v>#DIV/0!</v>
      </c>
      <c r="L133" s="104"/>
      <c r="M133" s="103"/>
      <c r="N133" s="103"/>
      <c r="O133" s="103"/>
      <c r="P133" s="70"/>
      <c r="Q133" s="58"/>
    </row>
    <row r="134" spans="1:17" s="6" customFormat="1" ht="18" hidden="1" customHeight="1">
      <c r="A134" s="30"/>
      <c r="B134" s="46"/>
      <c r="C134" s="94" t="e">
        <f t="shared" si="17"/>
        <v>#N/A</v>
      </c>
      <c r="D134" s="47" t="e">
        <f>VLOOKUP(F134,Sheet2!$A$2:$D$31,4,0)</f>
        <v>#N/A</v>
      </c>
      <c r="E134" s="48" t="e">
        <f>VLOOKUP(F134,Sheet2!$A$2:$D$31,2,0)</f>
        <v>#N/A</v>
      </c>
      <c r="F134" s="48"/>
      <c r="G134" s="49"/>
      <c r="H134" s="50" t="e">
        <f>VLOOKUP(F134,Sheet2!$A$2:$D$31,3,0)</f>
        <v>#N/A</v>
      </c>
      <c r="I134" s="68"/>
      <c r="J134" s="69"/>
      <c r="K134" s="96" t="e">
        <f t="shared" si="21"/>
        <v>#DIV/0!</v>
      </c>
      <c r="L134" s="104"/>
      <c r="M134" s="73"/>
      <c r="N134" s="103"/>
      <c r="O134" s="103"/>
      <c r="P134" s="70"/>
      <c r="Q134" s="58"/>
    </row>
    <row r="135" spans="1:17" s="6" customFormat="1" ht="18" hidden="1" customHeight="1">
      <c r="A135" s="30"/>
      <c r="B135" s="46"/>
      <c r="C135" s="94" t="e">
        <f t="shared" si="17"/>
        <v>#N/A</v>
      </c>
      <c r="D135" s="47" t="e">
        <f>VLOOKUP(F135,Sheet2!$A$2:$D$31,4,0)</f>
        <v>#N/A</v>
      </c>
      <c r="E135" s="48" t="e">
        <f>VLOOKUP(F135,Sheet2!$A$2:$D$31,2,0)</f>
        <v>#N/A</v>
      </c>
      <c r="F135" s="48"/>
      <c r="G135" s="49"/>
      <c r="H135" s="50" t="e">
        <f>VLOOKUP(F135,Sheet2!$A$2:$D$31,3,0)</f>
        <v>#N/A</v>
      </c>
      <c r="I135" s="68"/>
      <c r="J135" s="95"/>
      <c r="K135" s="96" t="e">
        <f t="shared" si="20"/>
        <v>#DIV/0!</v>
      </c>
      <c r="L135" s="104"/>
      <c r="M135" s="103"/>
      <c r="N135" s="103"/>
      <c r="O135" s="103"/>
      <c r="P135" s="70"/>
      <c r="Q135" s="58"/>
    </row>
    <row r="136" spans="1:17" s="6" customFormat="1" ht="18" hidden="1" customHeight="1">
      <c r="A136" s="30"/>
      <c r="B136" s="46"/>
      <c r="C136" s="94" t="e">
        <f t="shared" si="17"/>
        <v>#N/A</v>
      </c>
      <c r="D136" s="47" t="e">
        <f>VLOOKUP(F136,Sheet2!$A$2:$D$31,4,0)</f>
        <v>#N/A</v>
      </c>
      <c r="E136" s="48" t="e">
        <f>VLOOKUP(F136,Sheet2!$A$2:$D$31,2,0)</f>
        <v>#N/A</v>
      </c>
      <c r="F136" s="48"/>
      <c r="G136" s="49"/>
      <c r="H136" s="50" t="e">
        <f>VLOOKUP(F136,Sheet2!$A$2:$D$31,3,0)</f>
        <v>#N/A</v>
      </c>
      <c r="I136" s="68"/>
      <c r="J136" s="95"/>
      <c r="K136" s="96" t="e">
        <f t="shared" si="20"/>
        <v>#DIV/0!</v>
      </c>
      <c r="L136" s="104"/>
      <c r="M136" s="103"/>
      <c r="N136" s="103"/>
      <c r="O136" s="103"/>
      <c r="P136" s="70"/>
      <c r="Q136" s="58"/>
    </row>
    <row r="137" spans="1:17" s="6" customFormat="1" ht="22.5" hidden="1" customHeight="1" thickBot="1">
      <c r="A137" s="30"/>
      <c r="B137" s="51"/>
      <c r="C137" s="99"/>
      <c r="D137" s="52"/>
      <c r="E137" s="53" t="s">
        <v>38</v>
      </c>
      <c r="F137" s="53"/>
      <c r="G137" s="54">
        <f>SUM(G117:G136)</f>
        <v>0</v>
      </c>
      <c r="H137" s="55"/>
      <c r="I137" s="71">
        <f>SUM(I117:I136)</f>
        <v>0</v>
      </c>
      <c r="J137" s="72">
        <f>SUM(J117:J136)</f>
        <v>0</v>
      </c>
      <c r="K137" s="71"/>
      <c r="L137" s="100">
        <f>SUM(L117:L136)</f>
        <v>0</v>
      </c>
      <c r="M137" s="101">
        <f>SUM(M117:M136)</f>
        <v>0</v>
      </c>
      <c r="N137" s="101"/>
      <c r="O137" s="101"/>
      <c r="P137" s="101">
        <f>SUM(P117:P136)</f>
        <v>0</v>
      </c>
      <c r="Q137" s="58"/>
    </row>
    <row r="138" spans="1:17" s="6" customFormat="1" ht="15.5" hidden="1">
      <c r="A138" s="30"/>
      <c r="B138" s="105"/>
      <c r="C138" s="106"/>
      <c r="D138" s="105"/>
      <c r="E138" s="76"/>
      <c r="F138" s="76"/>
      <c r="G138" s="87"/>
      <c r="H138" s="88"/>
      <c r="I138" s="82"/>
      <c r="J138" s="82"/>
      <c r="K138" s="107"/>
      <c r="L138" s="107"/>
      <c r="M138" s="107"/>
      <c r="N138" s="107"/>
      <c r="O138" s="107"/>
      <c r="P138" s="66"/>
      <c r="Q138" s="58"/>
    </row>
    <row r="139" spans="1:17" s="6" customFormat="1" ht="25.5" hidden="1" customHeight="1" thickBot="1">
      <c r="A139" s="30"/>
      <c r="B139" s="40" t="s">
        <v>115</v>
      </c>
      <c r="C139" s="102"/>
      <c r="D139" s="41"/>
      <c r="E139" s="21"/>
      <c r="F139" s="21"/>
      <c r="G139" s="21"/>
      <c r="H139" s="21"/>
      <c r="I139" s="63"/>
      <c r="J139" s="13"/>
      <c r="K139" s="64"/>
      <c r="L139" s="64"/>
      <c r="M139" s="65"/>
      <c r="N139" s="65"/>
      <c r="O139" s="65"/>
      <c r="P139" s="66"/>
      <c r="Q139" s="58"/>
    </row>
    <row r="140" spans="1:17" s="6" customFormat="1" ht="39" hidden="1" customHeight="1">
      <c r="A140" s="42"/>
      <c r="B140" s="43" t="s">
        <v>27</v>
      </c>
      <c r="C140" s="44" t="s">
        <v>28</v>
      </c>
      <c r="D140" s="44" t="s">
        <v>29</v>
      </c>
      <c r="E140" s="45" t="s">
        <v>30</v>
      </c>
      <c r="F140" s="45" t="s">
        <v>31</v>
      </c>
      <c r="G140" s="414" t="s">
        <v>32</v>
      </c>
      <c r="H140" s="414"/>
      <c r="I140" s="45" t="s">
        <v>33</v>
      </c>
      <c r="J140" s="67" t="s">
        <v>34</v>
      </c>
      <c r="K140" s="92" t="s">
        <v>35</v>
      </c>
      <c r="L140" s="92" t="s">
        <v>36</v>
      </c>
      <c r="M140" s="93" t="s">
        <v>37</v>
      </c>
      <c r="N140" s="93"/>
      <c r="O140" s="93"/>
      <c r="P140" s="93" t="s">
        <v>120</v>
      </c>
      <c r="Q140" s="58"/>
    </row>
    <row r="141" spans="1:17" s="6" customFormat="1" ht="18" hidden="1" customHeight="1">
      <c r="A141" s="30"/>
      <c r="B141" s="46"/>
      <c r="C141" s="94" t="e">
        <f t="shared" ref="C141:C160" si="22">CONCATENATE("MFGG","-",MID(E141,1,3),MID(E141,10,1),"-","IDD")</f>
        <v>#N/A</v>
      </c>
      <c r="D141" s="47" t="e">
        <f>VLOOKUP(F141,Sheet2!$A$2:$D$31,4,0)</f>
        <v>#N/A</v>
      </c>
      <c r="E141" s="48" t="e">
        <f>VLOOKUP(F141,Sheet2!$A$2:$D$31,2,0)</f>
        <v>#N/A</v>
      </c>
      <c r="F141" s="48"/>
      <c r="G141" s="49"/>
      <c r="H141" s="50" t="e">
        <f>VLOOKUP(F141,Sheet2!$A$2:$D$31,3,0)</f>
        <v>#N/A</v>
      </c>
      <c r="I141" s="68"/>
      <c r="J141" s="95"/>
      <c r="K141" s="96" t="e">
        <f t="shared" ref="K141:K160" si="23">L141/G141</f>
        <v>#DIV/0!</v>
      </c>
      <c r="L141" s="104"/>
      <c r="M141" s="103"/>
      <c r="N141" s="103"/>
      <c r="O141" s="103"/>
      <c r="P141" s="70"/>
      <c r="Q141" s="58"/>
    </row>
    <row r="142" spans="1:17" s="6" customFormat="1" ht="18" hidden="1" customHeight="1">
      <c r="A142" s="30"/>
      <c r="B142" s="46"/>
      <c r="C142" s="94" t="e">
        <f t="shared" si="22"/>
        <v>#N/A</v>
      </c>
      <c r="D142" s="47" t="e">
        <f>VLOOKUP(F142,Sheet2!$A$2:$D$31,4,0)</f>
        <v>#N/A</v>
      </c>
      <c r="E142" s="48" t="e">
        <f>VLOOKUP(F142,Sheet2!$A$2:$D$31,2,0)</f>
        <v>#N/A</v>
      </c>
      <c r="F142" s="48"/>
      <c r="G142" s="49"/>
      <c r="H142" s="50" t="e">
        <f>VLOOKUP(F142,Sheet2!$A$2:$D$31,3,0)</f>
        <v>#N/A</v>
      </c>
      <c r="I142" s="68"/>
      <c r="J142" s="95"/>
      <c r="K142" s="96" t="e">
        <f t="shared" si="23"/>
        <v>#DIV/0!</v>
      </c>
      <c r="L142" s="104"/>
      <c r="M142" s="103"/>
      <c r="N142" s="103"/>
      <c r="O142" s="103"/>
      <c r="P142" s="70"/>
      <c r="Q142" s="58"/>
    </row>
    <row r="143" spans="1:17" s="6" customFormat="1" ht="18" hidden="1" customHeight="1">
      <c r="A143" s="30"/>
      <c r="B143" s="46"/>
      <c r="C143" s="94" t="e">
        <f t="shared" si="22"/>
        <v>#N/A</v>
      </c>
      <c r="D143" s="47" t="e">
        <f>VLOOKUP(F143,Sheet2!$A$2:$D$31,4,0)</f>
        <v>#N/A</v>
      </c>
      <c r="E143" s="48" t="e">
        <f>VLOOKUP(F143,Sheet2!$A$2:$D$31,2,0)</f>
        <v>#N/A</v>
      </c>
      <c r="F143" s="48"/>
      <c r="G143" s="49"/>
      <c r="H143" s="50" t="e">
        <f>VLOOKUP(F143,Sheet2!$A$2:$D$31,3,0)</f>
        <v>#N/A</v>
      </c>
      <c r="I143" s="68"/>
      <c r="J143" s="69"/>
      <c r="K143" s="96" t="e">
        <f t="shared" si="23"/>
        <v>#DIV/0!</v>
      </c>
      <c r="L143" s="104"/>
      <c r="M143" s="73"/>
      <c r="N143" s="103"/>
      <c r="O143" s="103"/>
      <c r="P143" s="70"/>
      <c r="Q143" s="58"/>
    </row>
    <row r="144" spans="1:17" s="6" customFormat="1" ht="18" hidden="1" customHeight="1">
      <c r="A144" s="30"/>
      <c r="B144" s="46"/>
      <c r="C144" s="94" t="e">
        <f t="shared" si="22"/>
        <v>#N/A</v>
      </c>
      <c r="D144" s="47" t="e">
        <f>VLOOKUP(F144,Sheet2!$A$2:$D$31,4,0)</f>
        <v>#N/A</v>
      </c>
      <c r="E144" s="48" t="e">
        <f>VLOOKUP(F144,Sheet2!$A$2:$D$31,2,0)</f>
        <v>#N/A</v>
      </c>
      <c r="F144" s="48"/>
      <c r="G144" s="49"/>
      <c r="H144" s="50" t="e">
        <f>VLOOKUP(F144,Sheet2!$A$2:$D$31,3,0)</f>
        <v>#N/A</v>
      </c>
      <c r="I144" s="68"/>
      <c r="J144" s="95"/>
      <c r="K144" s="96" t="e">
        <f t="shared" si="23"/>
        <v>#DIV/0!</v>
      </c>
      <c r="L144" s="104"/>
      <c r="M144" s="103"/>
      <c r="N144" s="103"/>
      <c r="O144" s="103"/>
      <c r="P144" s="70"/>
      <c r="Q144" s="58"/>
    </row>
    <row r="145" spans="1:17" s="6" customFormat="1" ht="18" hidden="1" customHeight="1">
      <c r="A145" s="30"/>
      <c r="B145" s="46"/>
      <c r="C145" s="94" t="e">
        <f t="shared" si="22"/>
        <v>#N/A</v>
      </c>
      <c r="D145" s="47" t="e">
        <f>VLOOKUP(F145,Sheet2!$A$2:$D$31,4,0)</f>
        <v>#N/A</v>
      </c>
      <c r="E145" s="48" t="e">
        <f>VLOOKUP(F145,Sheet2!$A$2:$D$31,2,0)</f>
        <v>#N/A</v>
      </c>
      <c r="F145" s="48"/>
      <c r="G145" s="49"/>
      <c r="H145" s="50" t="e">
        <f>VLOOKUP(F145,Sheet2!$A$2:$D$31,3,0)</f>
        <v>#N/A</v>
      </c>
      <c r="I145" s="68"/>
      <c r="J145" s="95"/>
      <c r="K145" s="96" t="e">
        <f t="shared" si="23"/>
        <v>#DIV/0!</v>
      </c>
      <c r="L145" s="104"/>
      <c r="M145" s="103"/>
      <c r="N145" s="103"/>
      <c r="O145" s="103"/>
      <c r="P145" s="70"/>
      <c r="Q145" s="58"/>
    </row>
    <row r="146" spans="1:17" s="6" customFormat="1" ht="18" hidden="1" customHeight="1">
      <c r="A146" s="30"/>
      <c r="B146" s="46"/>
      <c r="C146" s="94" t="e">
        <f t="shared" si="22"/>
        <v>#N/A</v>
      </c>
      <c r="D146" s="47" t="e">
        <f>VLOOKUP(F146,Sheet2!$A$2:$D$31,4,0)</f>
        <v>#N/A</v>
      </c>
      <c r="E146" s="48" t="e">
        <f>VLOOKUP(F146,Sheet2!$A$2:$D$31,2,0)</f>
        <v>#N/A</v>
      </c>
      <c r="F146" s="48"/>
      <c r="G146" s="49"/>
      <c r="H146" s="50" t="e">
        <f>VLOOKUP(F146,Sheet2!$A$2:$D$31,3,0)</f>
        <v>#N/A</v>
      </c>
      <c r="I146" s="68"/>
      <c r="J146" s="95"/>
      <c r="K146" s="96" t="e">
        <f t="shared" si="23"/>
        <v>#DIV/0!</v>
      </c>
      <c r="L146" s="104"/>
      <c r="M146" s="103"/>
      <c r="N146" s="103"/>
      <c r="O146" s="103"/>
      <c r="P146" s="70"/>
      <c r="Q146" s="58"/>
    </row>
    <row r="147" spans="1:17" s="6" customFormat="1" ht="18" hidden="1" customHeight="1">
      <c r="A147" s="30"/>
      <c r="B147" s="46"/>
      <c r="C147" s="94" t="e">
        <f t="shared" si="22"/>
        <v>#N/A</v>
      </c>
      <c r="D147" s="47" t="e">
        <f>VLOOKUP(F147,Sheet2!$A$2:$D$31,4,0)</f>
        <v>#N/A</v>
      </c>
      <c r="E147" s="48" t="e">
        <f>VLOOKUP(F147,Sheet2!$A$2:$D$31,2,0)</f>
        <v>#N/A</v>
      </c>
      <c r="F147" s="48"/>
      <c r="G147" s="49"/>
      <c r="H147" s="50" t="e">
        <f>VLOOKUP(F147,Sheet2!$A$2:$D$31,3,0)</f>
        <v>#N/A</v>
      </c>
      <c r="I147" s="68"/>
      <c r="J147" s="95"/>
      <c r="K147" s="96" t="e">
        <f t="shared" si="23"/>
        <v>#DIV/0!</v>
      </c>
      <c r="L147" s="104"/>
      <c r="M147" s="103"/>
      <c r="N147" s="103"/>
      <c r="O147" s="103"/>
      <c r="P147" s="70"/>
      <c r="Q147" s="58"/>
    </row>
    <row r="148" spans="1:17" s="6" customFormat="1" ht="18" hidden="1" customHeight="1">
      <c r="A148" s="30"/>
      <c r="B148" s="46"/>
      <c r="C148" s="94" t="e">
        <f t="shared" si="22"/>
        <v>#N/A</v>
      </c>
      <c r="D148" s="47" t="e">
        <f>VLOOKUP(F148,Sheet2!$A$2:$D$31,4,0)</f>
        <v>#N/A</v>
      </c>
      <c r="E148" s="48" t="e">
        <f>VLOOKUP(F148,Sheet2!$A$2:$D$31,2,0)</f>
        <v>#N/A</v>
      </c>
      <c r="F148" s="48"/>
      <c r="G148" s="49"/>
      <c r="H148" s="50" t="e">
        <f>VLOOKUP(F148,Sheet2!$A$2:$D$31,3,0)</f>
        <v>#N/A</v>
      </c>
      <c r="I148" s="68"/>
      <c r="J148" s="95"/>
      <c r="K148" s="96" t="e">
        <f t="shared" si="23"/>
        <v>#DIV/0!</v>
      </c>
      <c r="L148" s="104"/>
      <c r="M148" s="103"/>
      <c r="N148" s="103"/>
      <c r="O148" s="103"/>
      <c r="P148" s="70"/>
      <c r="Q148" s="58"/>
    </row>
    <row r="149" spans="1:17" s="6" customFormat="1" ht="18" hidden="1" customHeight="1">
      <c r="A149" s="30"/>
      <c r="B149" s="46"/>
      <c r="C149" s="94" t="e">
        <f t="shared" si="22"/>
        <v>#N/A</v>
      </c>
      <c r="D149" s="47" t="e">
        <f>VLOOKUP(F149,Sheet2!$A$2:$D$31,4,0)</f>
        <v>#N/A</v>
      </c>
      <c r="E149" s="48" t="e">
        <f>VLOOKUP(F149,Sheet2!$A$2:$D$31,2,0)</f>
        <v>#N/A</v>
      </c>
      <c r="F149" s="48"/>
      <c r="G149" s="49"/>
      <c r="H149" s="50" t="e">
        <f>VLOOKUP(F149,Sheet2!$A$2:$D$31,3,0)</f>
        <v>#N/A</v>
      </c>
      <c r="I149" s="68"/>
      <c r="J149" s="95"/>
      <c r="K149" s="96" t="e">
        <f t="shared" si="23"/>
        <v>#DIV/0!</v>
      </c>
      <c r="L149" s="104"/>
      <c r="M149" s="103"/>
      <c r="N149" s="103"/>
      <c r="O149" s="103"/>
      <c r="P149" s="70"/>
      <c r="Q149" s="58"/>
    </row>
    <row r="150" spans="1:17" s="6" customFormat="1" ht="18" hidden="1" customHeight="1">
      <c r="A150" s="30"/>
      <c r="B150" s="46"/>
      <c r="C150" s="94" t="e">
        <f t="shared" si="22"/>
        <v>#N/A</v>
      </c>
      <c r="D150" s="47" t="e">
        <f>VLOOKUP(F150,Sheet2!$A$2:$D$31,4,0)</f>
        <v>#N/A</v>
      </c>
      <c r="E150" s="48" t="e">
        <f>VLOOKUP(F150,Sheet2!$A$2:$D$31,2,0)</f>
        <v>#N/A</v>
      </c>
      <c r="F150" s="48"/>
      <c r="G150" s="49"/>
      <c r="H150" s="50" t="e">
        <f>VLOOKUP(F150,Sheet2!$A$2:$D$31,3,0)</f>
        <v>#N/A</v>
      </c>
      <c r="I150" s="68"/>
      <c r="J150" s="95"/>
      <c r="K150" s="96" t="e">
        <f t="shared" si="23"/>
        <v>#DIV/0!</v>
      </c>
      <c r="L150" s="104"/>
      <c r="M150" s="103"/>
      <c r="N150" s="103"/>
      <c r="O150" s="103"/>
      <c r="P150" s="70"/>
      <c r="Q150" s="58"/>
    </row>
    <row r="151" spans="1:17" s="6" customFormat="1" ht="18" hidden="1" customHeight="1">
      <c r="A151" s="30"/>
      <c r="B151" s="46"/>
      <c r="C151" s="94" t="e">
        <f t="shared" si="22"/>
        <v>#N/A</v>
      </c>
      <c r="D151" s="47" t="e">
        <f>VLOOKUP(F151,Sheet2!$A$2:$D$31,4,0)</f>
        <v>#N/A</v>
      </c>
      <c r="E151" s="48" t="e">
        <f>VLOOKUP(F151,Sheet2!$A$2:$D$31,2,0)</f>
        <v>#N/A</v>
      </c>
      <c r="F151" s="48"/>
      <c r="G151" s="49"/>
      <c r="H151" s="50" t="e">
        <f>VLOOKUP(F151,Sheet2!$A$2:$D$31,3,0)</f>
        <v>#N/A</v>
      </c>
      <c r="I151" s="68"/>
      <c r="J151" s="95"/>
      <c r="K151" s="96" t="e">
        <f t="shared" si="23"/>
        <v>#DIV/0!</v>
      </c>
      <c r="L151" s="104"/>
      <c r="M151" s="103"/>
      <c r="N151" s="103"/>
      <c r="O151" s="103"/>
      <c r="P151" s="70"/>
      <c r="Q151" s="58"/>
    </row>
    <row r="152" spans="1:17" s="6" customFormat="1" ht="18" hidden="1" customHeight="1">
      <c r="A152" s="30"/>
      <c r="B152" s="46"/>
      <c r="C152" s="94" t="e">
        <f t="shared" si="22"/>
        <v>#N/A</v>
      </c>
      <c r="D152" s="47" t="e">
        <f>VLOOKUP(F152,Sheet2!$A$2:$D$31,4,0)</f>
        <v>#N/A</v>
      </c>
      <c r="E152" s="48" t="e">
        <f>VLOOKUP(F152,Sheet2!$A$2:$D$31,2,0)</f>
        <v>#N/A</v>
      </c>
      <c r="F152" s="48"/>
      <c r="G152" s="49"/>
      <c r="H152" s="50" t="e">
        <f>VLOOKUP(F152,Sheet2!$A$2:$D$31,3,0)</f>
        <v>#N/A</v>
      </c>
      <c r="I152" s="68"/>
      <c r="J152" s="69"/>
      <c r="K152" s="96" t="e">
        <f t="shared" si="23"/>
        <v>#DIV/0!</v>
      </c>
      <c r="L152" s="104"/>
      <c r="M152" s="73"/>
      <c r="N152" s="103"/>
      <c r="O152" s="103"/>
      <c r="P152" s="70"/>
      <c r="Q152" s="58"/>
    </row>
    <row r="153" spans="1:17" s="6" customFormat="1" ht="18" hidden="1" customHeight="1">
      <c r="A153" s="30"/>
      <c r="B153" s="46"/>
      <c r="C153" s="94" t="e">
        <f t="shared" si="22"/>
        <v>#N/A</v>
      </c>
      <c r="D153" s="47" t="e">
        <f>VLOOKUP(F153,Sheet2!$A$2:$D$31,4,0)</f>
        <v>#N/A</v>
      </c>
      <c r="E153" s="48" t="e">
        <f>VLOOKUP(F153,Sheet2!$A$2:$D$31,2,0)</f>
        <v>#N/A</v>
      </c>
      <c r="F153" s="48"/>
      <c r="G153" s="49"/>
      <c r="H153" s="50" t="e">
        <f>VLOOKUP(F153,Sheet2!$A$2:$D$31,3,0)</f>
        <v>#N/A</v>
      </c>
      <c r="I153" s="68"/>
      <c r="J153" s="69"/>
      <c r="K153" s="96" t="e">
        <f t="shared" si="23"/>
        <v>#DIV/0!</v>
      </c>
      <c r="L153" s="104"/>
      <c r="M153" s="73"/>
      <c r="N153" s="103"/>
      <c r="O153" s="103"/>
      <c r="P153" s="70"/>
      <c r="Q153" s="58"/>
    </row>
    <row r="154" spans="1:17" s="6" customFormat="1" ht="18" hidden="1" customHeight="1">
      <c r="A154" s="30"/>
      <c r="B154" s="46"/>
      <c r="C154" s="94" t="e">
        <f t="shared" si="22"/>
        <v>#N/A</v>
      </c>
      <c r="D154" s="47" t="e">
        <f>VLOOKUP(F154,Sheet2!$A$2:$D$31,4,0)</f>
        <v>#N/A</v>
      </c>
      <c r="E154" s="48" t="e">
        <f>VLOOKUP(F154,Sheet2!$A$2:$D$31,2,0)</f>
        <v>#N/A</v>
      </c>
      <c r="F154" s="48"/>
      <c r="G154" s="49"/>
      <c r="H154" s="50" t="e">
        <f>VLOOKUP(F154,Sheet2!$A$2:$D$31,3,0)</f>
        <v>#N/A</v>
      </c>
      <c r="I154" s="68"/>
      <c r="J154" s="95"/>
      <c r="K154" s="96" t="e">
        <f t="shared" si="23"/>
        <v>#DIV/0!</v>
      </c>
      <c r="L154" s="104"/>
      <c r="M154" s="103"/>
      <c r="N154" s="103"/>
      <c r="O154" s="103"/>
      <c r="P154" s="70"/>
      <c r="Q154" s="58"/>
    </row>
    <row r="155" spans="1:17" s="6" customFormat="1" ht="18" hidden="1" customHeight="1">
      <c r="A155" s="30"/>
      <c r="B155" s="46"/>
      <c r="C155" s="94" t="e">
        <f t="shared" si="22"/>
        <v>#N/A</v>
      </c>
      <c r="D155" s="47" t="e">
        <f>VLOOKUP(F155,Sheet2!$A$2:$D$31,4,0)</f>
        <v>#N/A</v>
      </c>
      <c r="E155" s="48" t="e">
        <f>VLOOKUP(F155,Sheet2!$A$2:$D$31,2,0)</f>
        <v>#N/A</v>
      </c>
      <c r="F155" s="48"/>
      <c r="G155" s="49"/>
      <c r="H155" s="50" t="e">
        <f>VLOOKUP(F155,Sheet2!$A$2:$D$31,3,0)</f>
        <v>#N/A</v>
      </c>
      <c r="I155" s="68"/>
      <c r="J155" s="95"/>
      <c r="K155" s="96" t="e">
        <f t="shared" si="23"/>
        <v>#DIV/0!</v>
      </c>
      <c r="L155" s="104"/>
      <c r="M155" s="103"/>
      <c r="N155" s="103"/>
      <c r="O155" s="103"/>
      <c r="P155" s="70"/>
      <c r="Q155" s="58"/>
    </row>
    <row r="156" spans="1:17" s="6" customFormat="1" ht="18" hidden="1" customHeight="1">
      <c r="A156" s="30"/>
      <c r="B156" s="46"/>
      <c r="C156" s="94" t="e">
        <f t="shared" si="22"/>
        <v>#N/A</v>
      </c>
      <c r="D156" s="47" t="e">
        <f>VLOOKUP(F156,Sheet2!$A$2:$D$31,4,0)</f>
        <v>#N/A</v>
      </c>
      <c r="E156" s="48" t="e">
        <f>VLOOKUP(F156,Sheet2!$A$2:$D$31,2,0)</f>
        <v>#N/A</v>
      </c>
      <c r="F156" s="48"/>
      <c r="G156" s="49"/>
      <c r="H156" s="50" t="e">
        <f>VLOOKUP(F156,Sheet2!$A$2:$D$31,3,0)</f>
        <v>#N/A</v>
      </c>
      <c r="I156" s="68"/>
      <c r="J156" s="95"/>
      <c r="K156" s="96" t="e">
        <f t="shared" si="23"/>
        <v>#DIV/0!</v>
      </c>
      <c r="L156" s="104"/>
      <c r="M156" s="103"/>
      <c r="N156" s="103"/>
      <c r="O156" s="103"/>
      <c r="P156" s="70"/>
      <c r="Q156" s="58"/>
    </row>
    <row r="157" spans="1:17" s="6" customFormat="1" ht="18" hidden="1" customHeight="1">
      <c r="A157" s="30"/>
      <c r="B157" s="46"/>
      <c r="C157" s="94" t="e">
        <f t="shared" si="22"/>
        <v>#N/A</v>
      </c>
      <c r="D157" s="47" t="e">
        <f>VLOOKUP(F157,Sheet2!$A$2:$D$31,4,0)</f>
        <v>#N/A</v>
      </c>
      <c r="E157" s="48" t="e">
        <f>VLOOKUP(F157,Sheet2!$A$2:$D$31,2,0)</f>
        <v>#N/A</v>
      </c>
      <c r="F157" s="48"/>
      <c r="G157" s="49"/>
      <c r="H157" s="50" t="e">
        <f>VLOOKUP(F157,Sheet2!$A$2:$D$31,3,0)</f>
        <v>#N/A</v>
      </c>
      <c r="I157" s="68"/>
      <c r="J157" s="95"/>
      <c r="K157" s="96" t="e">
        <f t="shared" si="23"/>
        <v>#DIV/0!</v>
      </c>
      <c r="L157" s="104"/>
      <c r="M157" s="103"/>
      <c r="N157" s="103"/>
      <c r="O157" s="103"/>
      <c r="P157" s="70"/>
      <c r="Q157" s="58"/>
    </row>
    <row r="158" spans="1:17" s="6" customFormat="1" ht="18" hidden="1" customHeight="1">
      <c r="A158" s="30"/>
      <c r="B158" s="46"/>
      <c r="C158" s="94" t="e">
        <f t="shared" si="22"/>
        <v>#N/A</v>
      </c>
      <c r="D158" s="47" t="e">
        <f>VLOOKUP(F158,Sheet2!$A$2:$D$31,4,0)</f>
        <v>#N/A</v>
      </c>
      <c r="E158" s="48" t="e">
        <f>VLOOKUP(F158,Sheet2!$A$2:$D$31,2,0)</f>
        <v>#N/A</v>
      </c>
      <c r="F158" s="48"/>
      <c r="G158" s="49"/>
      <c r="H158" s="50" t="e">
        <f>VLOOKUP(F158,Sheet2!$A$2:$D$31,3,0)</f>
        <v>#N/A</v>
      </c>
      <c r="I158" s="68"/>
      <c r="J158" s="69"/>
      <c r="K158" s="96" t="e">
        <f t="shared" si="23"/>
        <v>#DIV/0!</v>
      </c>
      <c r="L158" s="104"/>
      <c r="M158" s="73"/>
      <c r="N158" s="103"/>
      <c r="O158" s="103"/>
      <c r="P158" s="70"/>
      <c r="Q158" s="58"/>
    </row>
    <row r="159" spans="1:17" s="6" customFormat="1" ht="18" hidden="1" customHeight="1">
      <c r="A159" s="30"/>
      <c r="B159" s="46"/>
      <c r="C159" s="94" t="e">
        <f t="shared" si="22"/>
        <v>#N/A</v>
      </c>
      <c r="D159" s="47" t="e">
        <f>VLOOKUP(F159,Sheet2!$A$2:$D$31,4,0)</f>
        <v>#N/A</v>
      </c>
      <c r="E159" s="48" t="e">
        <f>VLOOKUP(F159,Sheet2!$A$2:$D$31,2,0)</f>
        <v>#N/A</v>
      </c>
      <c r="F159" s="48"/>
      <c r="G159" s="49"/>
      <c r="H159" s="50" t="e">
        <f>VLOOKUP(F159,Sheet2!$A$2:$D$31,3,0)</f>
        <v>#N/A</v>
      </c>
      <c r="I159" s="68"/>
      <c r="J159" s="95"/>
      <c r="K159" s="96" t="e">
        <f t="shared" si="23"/>
        <v>#DIV/0!</v>
      </c>
      <c r="L159" s="104"/>
      <c r="M159" s="103"/>
      <c r="N159" s="103"/>
      <c r="O159" s="103"/>
      <c r="P159" s="70"/>
      <c r="Q159" s="58"/>
    </row>
    <row r="160" spans="1:17" s="6" customFormat="1" ht="18" hidden="1" customHeight="1">
      <c r="A160" s="30"/>
      <c r="B160" s="46"/>
      <c r="C160" s="94" t="e">
        <f t="shared" si="22"/>
        <v>#N/A</v>
      </c>
      <c r="D160" s="47" t="e">
        <f>VLOOKUP(F160,Sheet2!$A$2:$D$31,4,0)</f>
        <v>#N/A</v>
      </c>
      <c r="E160" s="48" t="e">
        <f>VLOOKUP(F160,Sheet2!$A$2:$D$31,2,0)</f>
        <v>#N/A</v>
      </c>
      <c r="F160" s="48"/>
      <c r="G160" s="49"/>
      <c r="H160" s="50" t="e">
        <f>VLOOKUP(F160,Sheet2!$A$2:$D$31,3,0)</f>
        <v>#N/A</v>
      </c>
      <c r="I160" s="68"/>
      <c r="J160" s="95"/>
      <c r="K160" s="96" t="e">
        <f t="shared" si="23"/>
        <v>#DIV/0!</v>
      </c>
      <c r="L160" s="104"/>
      <c r="M160" s="103"/>
      <c r="N160" s="103"/>
      <c r="O160" s="103"/>
      <c r="P160" s="70"/>
      <c r="Q160" s="58"/>
    </row>
    <row r="161" spans="1:19" s="6" customFormat="1" ht="22.5" hidden="1" customHeight="1" thickBot="1">
      <c r="A161" s="30"/>
      <c r="B161" s="51"/>
      <c r="C161" s="99"/>
      <c r="D161" s="52"/>
      <c r="E161" s="53" t="s">
        <v>38</v>
      </c>
      <c r="F161" s="53"/>
      <c r="G161" s="54">
        <f>SUM(G141:G160)</f>
        <v>0</v>
      </c>
      <c r="H161" s="55"/>
      <c r="I161" s="71">
        <f>SUM(I141:I160)</f>
        <v>0</v>
      </c>
      <c r="J161" s="72">
        <f>SUM(J141:J160)</f>
        <v>0</v>
      </c>
      <c r="K161" s="71"/>
      <c r="L161" s="100">
        <f>SUM(L141:L160)</f>
        <v>0</v>
      </c>
      <c r="M161" s="101">
        <f>SUM(M141:M160)</f>
        <v>0</v>
      </c>
      <c r="N161" s="101"/>
      <c r="O161" s="101"/>
      <c r="P161" s="101">
        <f>SUM(P141:P160)</f>
        <v>0</v>
      </c>
      <c r="Q161" s="58"/>
    </row>
    <row r="162" spans="1:19" s="6" customFormat="1" ht="15.5">
      <c r="A162" s="30"/>
      <c r="B162" s="105"/>
      <c r="C162" s="106"/>
      <c r="D162" s="105"/>
      <c r="E162" s="76"/>
      <c r="F162" s="76"/>
      <c r="G162" s="87"/>
      <c r="H162" s="88"/>
      <c r="I162" s="82"/>
      <c r="J162" s="82"/>
      <c r="K162" s="107"/>
      <c r="L162" s="107"/>
      <c r="M162" s="107"/>
      <c r="N162" s="107"/>
      <c r="O162" s="107"/>
      <c r="P162" s="66"/>
      <c r="Q162" s="58"/>
    </row>
    <row r="163" spans="1:19" s="6" customFormat="1" ht="42" customHeight="1" thickBot="1">
      <c r="A163" s="30"/>
      <c r="B163" s="21"/>
      <c r="C163" s="106"/>
      <c r="D163" s="21"/>
      <c r="E163" s="108"/>
      <c r="F163" s="108"/>
      <c r="G163" s="415" t="s">
        <v>44</v>
      </c>
      <c r="H163" s="415"/>
      <c r="I163" s="76" t="s">
        <v>33</v>
      </c>
      <c r="J163" s="76" t="s">
        <v>34</v>
      </c>
      <c r="K163" s="416" t="s">
        <v>45</v>
      </c>
      <c r="L163" s="416"/>
      <c r="M163" s="109" t="s">
        <v>46</v>
      </c>
      <c r="N163" s="228"/>
      <c r="O163" s="374"/>
      <c r="P163" s="66"/>
      <c r="Q163" s="58"/>
      <c r="R163" s="364" t="s">
        <v>167</v>
      </c>
      <c r="S163" s="364" t="s">
        <v>168</v>
      </c>
    </row>
    <row r="164" spans="1:19" s="6" customFormat="1" ht="23.25" customHeight="1" thickBot="1">
      <c r="A164" s="21"/>
      <c r="B164" s="12"/>
      <c r="C164" s="110"/>
      <c r="D164" s="12"/>
      <c r="E164" s="123" t="s">
        <v>47</v>
      </c>
      <c r="F164" s="124"/>
      <c r="G164" s="410">
        <f>G41+G65+G89+G113+G137+G161</f>
        <v>0</v>
      </c>
      <c r="H164" s="411"/>
      <c r="I164" s="77">
        <f>I41+I65+I89+I113+I137+I161</f>
        <v>0</v>
      </c>
      <c r="J164" s="77">
        <v>0</v>
      </c>
      <c r="K164" s="412">
        <f>L65+L41+L89+L113+L137+L161</f>
        <v>0</v>
      </c>
      <c r="L164" s="413"/>
      <c r="M164" s="370">
        <f>SUM(M41,M65,M89,M113,M137,M161)</f>
        <v>0</v>
      </c>
      <c r="N164" s="352"/>
      <c r="O164" s="352"/>
      <c r="P164" s="66"/>
      <c r="Q164" s="58"/>
      <c r="R164" s="365">
        <f>K164</f>
        <v>0</v>
      </c>
      <c r="S164" s="365">
        <f>M164</f>
        <v>0</v>
      </c>
    </row>
    <row r="165" spans="1:19" s="6" customFormat="1" ht="23.25" customHeight="1">
      <c r="A165" s="21"/>
      <c r="B165" s="12"/>
      <c r="C165" s="12"/>
      <c r="D165" s="12"/>
      <c r="E165" s="75"/>
      <c r="F165" s="75"/>
      <c r="G165" s="76"/>
      <c r="H165" s="76"/>
      <c r="I165" s="78"/>
      <c r="J165" s="79"/>
      <c r="L165" s="368" t="s">
        <v>164</v>
      </c>
      <c r="M165" s="369">
        <v>0</v>
      </c>
      <c r="N165" s="352"/>
      <c r="O165" s="352"/>
      <c r="P165" s="66"/>
      <c r="Q165" s="58"/>
    </row>
    <row r="166" spans="1:19" s="6" customFormat="1" ht="23.25" customHeight="1" thickBot="1">
      <c r="A166" s="21"/>
      <c r="B166" s="358"/>
      <c r="C166" s="358"/>
      <c r="D166" s="358"/>
      <c r="E166" s="75"/>
      <c r="F166" s="75"/>
      <c r="G166" s="76"/>
      <c r="H166" s="76"/>
      <c r="I166" s="78"/>
      <c r="J166" s="79"/>
      <c r="L166" s="366" t="s">
        <v>141</v>
      </c>
      <c r="M166" s="367">
        <v>0</v>
      </c>
      <c r="N166" s="352"/>
      <c r="O166" s="352"/>
      <c r="P166" s="66"/>
      <c r="Q166" s="58"/>
    </row>
    <row r="167" spans="1:19" s="6" customFormat="1" ht="23.25" customHeight="1" thickBot="1">
      <c r="A167" s="21"/>
      <c r="B167" s="12"/>
      <c r="C167" s="12"/>
      <c r="D167" s="12"/>
      <c r="E167" s="75"/>
      <c r="F167" s="75"/>
      <c r="G167" s="76"/>
      <c r="H167" s="76"/>
      <c r="I167" s="78"/>
      <c r="J167" s="79"/>
      <c r="L167" s="356" t="s">
        <v>48</v>
      </c>
      <c r="M167" s="370">
        <f>SUM(M164:M166)</f>
        <v>0</v>
      </c>
      <c r="N167" s="352"/>
      <c r="O167" s="352"/>
      <c r="P167" s="66"/>
      <c r="Q167" s="58"/>
    </row>
    <row r="168" spans="1:19" s="6" customFormat="1" ht="15.5">
      <c r="B168" s="12"/>
      <c r="C168" s="12"/>
      <c r="D168" s="12"/>
      <c r="E168" s="75"/>
      <c r="F168" s="75"/>
      <c r="G168" s="76"/>
      <c r="H168" s="76"/>
      <c r="I168" s="78"/>
      <c r="K168" s="80"/>
      <c r="L168" s="80"/>
      <c r="M168" s="81"/>
      <c r="N168" s="81"/>
      <c r="O168" s="81"/>
      <c r="P168" s="66"/>
      <c r="Q168" s="58"/>
    </row>
    <row r="169" spans="1:19" s="6" customFormat="1" ht="15.5">
      <c r="A169" s="89"/>
      <c r="B169" s="12"/>
      <c r="C169" s="12"/>
      <c r="D169" s="12"/>
      <c r="E169" s="75"/>
      <c r="F169" s="75"/>
      <c r="G169" s="76"/>
      <c r="H169" s="76"/>
      <c r="I169" s="78"/>
      <c r="K169" s="80"/>
      <c r="L169" s="80"/>
      <c r="M169" s="81"/>
      <c r="N169" s="81"/>
      <c r="O169" s="81"/>
      <c r="P169" s="66"/>
      <c r="Q169" s="58"/>
    </row>
    <row r="170" spans="1:19" s="6" customFormat="1" ht="15.5">
      <c r="A170" s="89"/>
      <c r="B170" s="12"/>
      <c r="C170" s="12"/>
      <c r="D170" s="12"/>
      <c r="E170" s="75"/>
      <c r="F170" s="75"/>
      <c r="G170" s="76"/>
      <c r="H170" s="76"/>
      <c r="I170" s="78"/>
      <c r="J170" s="112" t="s">
        <v>49</v>
      </c>
      <c r="K170" s="80"/>
      <c r="M170" s="81"/>
      <c r="N170" s="81"/>
      <c r="O170" s="81"/>
      <c r="P170" s="66"/>
      <c r="Q170" s="58"/>
    </row>
    <row r="171" spans="1:19" s="6" customFormat="1" ht="15.5">
      <c r="A171"/>
      <c r="B171"/>
      <c r="C171"/>
      <c r="D171"/>
      <c r="E171"/>
      <c r="F171"/>
      <c r="G171"/>
      <c r="H171"/>
      <c r="I171"/>
      <c r="J171" s="112"/>
      <c r="K171" s="82"/>
      <c r="M171" s="83"/>
      <c r="N171" s="83"/>
      <c r="O171" s="83"/>
      <c r="P171" s="66"/>
      <c r="Q171" s="58"/>
    </row>
    <row r="172" spans="1:19" s="6" customFormat="1" ht="15.5">
      <c r="A172"/>
      <c r="B172"/>
      <c r="C172"/>
      <c r="D172"/>
      <c r="E172"/>
      <c r="F172"/>
      <c r="G172"/>
      <c r="H172"/>
      <c r="I172"/>
      <c r="J172" s="112"/>
      <c r="M172" s="74"/>
      <c r="N172" s="112"/>
      <c r="O172" s="112"/>
      <c r="P172" s="66"/>
      <c r="Q172" s="58"/>
    </row>
    <row r="173" spans="1:19" s="6" customFormat="1" ht="15.5">
      <c r="A173"/>
      <c r="B173"/>
      <c r="C173"/>
      <c r="D173"/>
      <c r="E173"/>
      <c r="F173"/>
      <c r="G173"/>
      <c r="H173"/>
      <c r="I173"/>
      <c r="J173" s="85" t="s">
        <v>50</v>
      </c>
      <c r="M173" s="74"/>
      <c r="N173" s="112"/>
      <c r="O173" s="112"/>
      <c r="P173" s="66"/>
      <c r="Q173" s="58"/>
    </row>
    <row r="174" spans="1:19" s="6" customFormat="1" ht="15.5">
      <c r="A174"/>
      <c r="B174"/>
      <c r="C174"/>
      <c r="D174"/>
      <c r="E174"/>
      <c r="F174"/>
      <c r="G174"/>
      <c r="H174"/>
      <c r="I174"/>
      <c r="M174" s="74"/>
      <c r="N174" s="112"/>
      <c r="O174" s="112"/>
      <c r="P174" s="66"/>
      <c r="Q174" s="58"/>
    </row>
    <row r="175" spans="1:19" s="6" customFormat="1" ht="15">
      <c r="A175"/>
      <c r="B175"/>
      <c r="C175"/>
      <c r="D175"/>
      <c r="E175"/>
      <c r="F175"/>
      <c r="G175"/>
      <c r="H175"/>
      <c r="I175"/>
      <c r="J175" s="21"/>
      <c r="M175" s="85"/>
      <c r="N175" s="113"/>
      <c r="O175" s="113"/>
      <c r="P175" s="66"/>
      <c r="Q175" s="58"/>
    </row>
    <row r="176" spans="1:19" ht="15.75" customHeight="1">
      <c r="F176" s="398"/>
    </row>
    <row r="177" ht="15.75" customHeight="1"/>
    <row r="178" ht="15.75" customHeight="1"/>
    <row r="179" ht="15.75" customHeight="1"/>
  </sheetData>
  <mergeCells count="15">
    <mergeCell ref="A1:M1"/>
    <mergeCell ref="A2:M2"/>
    <mergeCell ref="A3:M3"/>
    <mergeCell ref="G20:H20"/>
    <mergeCell ref="G44:H44"/>
    <mergeCell ref="M6:M9"/>
    <mergeCell ref="G41:H41"/>
    <mergeCell ref="G164:H164"/>
    <mergeCell ref="K164:L164"/>
    <mergeCell ref="G140:H140"/>
    <mergeCell ref="G68:H68"/>
    <mergeCell ref="G92:H92"/>
    <mergeCell ref="G116:H116"/>
    <mergeCell ref="G163:H163"/>
    <mergeCell ref="K163:L163"/>
  </mergeCells>
  <pageMargins left="0.16111111111111101" right="0.27152777777777798" top="9.7916666666666693E-2" bottom="9.7916666666666693E-2" header="0.16111111111111101" footer="0.16111111111111101"/>
  <pageSetup paperSize="9" scale="58" orientation="landscape" r:id="rId1"/>
  <headerFooter scaleWithDoc="0" alignWithMargins="0">
    <evenHeader>&amp;R&amp;9IV1910171019-0 page 2</even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6"/>
  <sheetViews>
    <sheetView view="pageBreakPreview" zoomScale="75" zoomScaleNormal="85" zoomScaleSheetLayoutView="75" workbookViewId="0">
      <selection activeCell="B21" sqref="B21"/>
    </sheetView>
  </sheetViews>
  <sheetFormatPr defaultColWidth="9" defaultRowHeight="10.5" customHeight="1"/>
  <cols>
    <col min="1" max="1" width="13.33203125" style="7" customWidth="1"/>
    <col min="2" max="2" width="12.5" style="7" customWidth="1"/>
    <col min="3" max="3" width="20.58203125" style="7" customWidth="1"/>
    <col min="4" max="4" width="21.58203125" style="7" customWidth="1"/>
    <col min="5" max="5" width="25.33203125" style="7" customWidth="1"/>
    <col min="6" max="6" width="12.75" style="7" hidden="1" customWidth="1"/>
    <col min="7" max="8" width="6.1640625" style="7" customWidth="1"/>
    <col min="9" max="9" width="14" style="7" customWidth="1"/>
    <col min="10" max="10" width="14" style="8" customWidth="1"/>
    <col min="11" max="12" width="23.08203125" style="7" customWidth="1"/>
    <col min="13" max="13" width="21.33203125" style="9" customWidth="1"/>
    <col min="14" max="14" width="13.33203125" style="10" customWidth="1"/>
    <col min="15" max="15" width="10.33203125" style="11" customWidth="1"/>
    <col min="16" max="16" width="9" style="7" customWidth="1"/>
    <col min="17" max="16384" width="9" style="7"/>
  </cols>
  <sheetData>
    <row r="1" spans="1:15" s="4" customFormat="1" ht="24.75" customHeight="1">
      <c r="A1" s="417" t="s">
        <v>0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56"/>
      <c r="O1" s="56"/>
    </row>
    <row r="2" spans="1:15" ht="15.75" customHeight="1">
      <c r="A2" s="419" t="s">
        <v>1</v>
      </c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11"/>
    </row>
    <row r="3" spans="1:15" s="5" customFormat="1" ht="15.75" customHeight="1">
      <c r="A3" s="420" t="s">
        <v>51</v>
      </c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11"/>
      <c r="O3" s="57"/>
    </row>
    <row r="4" spans="1:15" s="6" customFormat="1" ht="13.5" customHeight="1">
      <c r="A4" s="14" t="s">
        <v>3</v>
      </c>
      <c r="B4" s="15" t="s">
        <v>4</v>
      </c>
      <c r="C4" s="15"/>
      <c r="D4" s="16"/>
      <c r="E4" s="16"/>
      <c r="F4" s="16"/>
      <c r="G4" s="16"/>
      <c r="H4" s="17"/>
      <c r="I4" s="18" t="s">
        <v>5</v>
      </c>
      <c r="J4" s="19"/>
      <c r="K4" s="59">
        <f>'Customs Invoice'!K4</f>
        <v>0</v>
      </c>
      <c r="L4" s="59">
        <f>'Customs Invoice'!L4</f>
        <v>0</v>
      </c>
      <c r="M4" s="35"/>
      <c r="N4" s="11"/>
      <c r="O4" s="58"/>
    </row>
    <row r="5" spans="1:15" s="6" customFormat="1" ht="13.5" customHeight="1">
      <c r="A5" s="20"/>
      <c r="B5" s="21" t="s">
        <v>6</v>
      </c>
      <c r="C5" s="21"/>
      <c r="D5" s="21"/>
      <c r="E5" s="21"/>
      <c r="F5" s="21"/>
      <c r="G5" s="21"/>
      <c r="H5" s="22"/>
      <c r="I5" s="18" t="s">
        <v>7</v>
      </c>
      <c r="J5" s="19"/>
      <c r="K5" s="37"/>
      <c r="L5" s="37"/>
      <c r="M5" s="35"/>
      <c r="N5" s="58"/>
      <c r="O5" s="58"/>
    </row>
    <row r="6" spans="1:15" s="6" customFormat="1" ht="13.5" customHeight="1">
      <c r="A6" s="20"/>
      <c r="B6" s="21" t="s">
        <v>8</v>
      </c>
      <c r="C6" s="21"/>
      <c r="D6" s="21"/>
      <c r="E6" s="21"/>
      <c r="F6" s="21"/>
      <c r="G6" s="21"/>
      <c r="H6" s="22"/>
      <c r="I6" s="20" t="str">
        <f>'Customs Invoice'!I6</f>
        <v>BILL TO :</v>
      </c>
      <c r="J6" s="23"/>
      <c r="K6" s="15">
        <f>'Customs Invoice'!K6</f>
        <v>0</v>
      </c>
      <c r="L6" s="16"/>
      <c r="M6" s="421" t="s">
        <v>118</v>
      </c>
      <c r="N6" s="58"/>
      <c r="O6" s="58"/>
    </row>
    <row r="7" spans="1:15" s="6" customFormat="1" ht="13.5" customHeight="1">
      <c r="A7" s="20"/>
      <c r="B7" s="21" t="s">
        <v>9</v>
      </c>
      <c r="C7" s="21"/>
      <c r="D7" s="21"/>
      <c r="E7" s="21"/>
      <c r="F7" s="21"/>
      <c r="G7" s="21"/>
      <c r="H7" s="22"/>
      <c r="I7" s="20"/>
      <c r="J7" s="208"/>
      <c r="K7" s="214">
        <f>'Customs Invoice'!K7</f>
        <v>0</v>
      </c>
      <c r="L7" s="207"/>
      <c r="M7" s="422"/>
      <c r="N7" s="58"/>
      <c r="O7" s="58"/>
    </row>
    <row r="8" spans="1:15" s="6" customFormat="1" ht="13.5" customHeight="1">
      <c r="A8" s="25"/>
      <c r="B8" s="26" t="s">
        <v>10</v>
      </c>
      <c r="C8" s="26"/>
      <c r="D8" s="26"/>
      <c r="E8" s="26"/>
      <c r="F8" s="26"/>
      <c r="G8" s="26"/>
      <c r="H8" s="27"/>
      <c r="I8" s="20"/>
      <c r="J8" s="208"/>
      <c r="K8" s="214">
        <f>'Customs Invoice'!K8</f>
        <v>0</v>
      </c>
      <c r="L8" s="207"/>
      <c r="M8" s="422"/>
      <c r="N8" s="58"/>
      <c r="O8" s="58"/>
    </row>
    <row r="9" spans="1:15" s="6" customFormat="1" ht="13.5" customHeight="1">
      <c r="A9" s="14" t="s">
        <v>11</v>
      </c>
      <c r="B9" s="15">
        <f>'Customs Invoice'!B9</f>
        <v>0</v>
      </c>
      <c r="C9" s="15"/>
      <c r="D9" s="29"/>
      <c r="E9" s="29"/>
      <c r="F9" s="29"/>
      <c r="G9" s="29"/>
      <c r="H9" s="17"/>
      <c r="I9" s="20"/>
      <c r="J9" s="209"/>
      <c r="K9" s="214">
        <f>'Customs Invoice'!K9</f>
        <v>0</v>
      </c>
      <c r="L9" s="205"/>
      <c r="M9" s="422"/>
      <c r="N9" s="58"/>
      <c r="O9" s="58"/>
    </row>
    <row r="10" spans="1:15" s="6" customFormat="1" ht="13.5" customHeight="1">
      <c r="A10" s="20"/>
      <c r="B10" s="30">
        <f>'Customs Invoice'!B10</f>
        <v>0</v>
      </c>
      <c r="C10" s="21"/>
      <c r="D10" s="30"/>
      <c r="E10" s="30"/>
      <c r="F10" s="30"/>
      <c r="G10" s="30"/>
      <c r="H10" s="22"/>
      <c r="I10" s="20"/>
      <c r="J10" s="209"/>
      <c r="K10" s="214">
        <f>'Customs Invoice'!K10</f>
        <v>0</v>
      </c>
      <c r="L10" s="205"/>
      <c r="M10" s="22"/>
      <c r="N10" s="58"/>
      <c r="O10" s="58"/>
    </row>
    <row r="11" spans="1:15" s="6" customFormat="1" ht="13.5" customHeight="1">
      <c r="A11" s="20"/>
      <c r="B11" s="30">
        <f>'Customs Invoice'!B11</f>
        <v>0</v>
      </c>
      <c r="C11" s="21"/>
      <c r="D11" s="30"/>
      <c r="E11" s="30"/>
      <c r="F11" s="30"/>
      <c r="G11" s="30"/>
      <c r="H11" s="22"/>
      <c r="I11" s="20"/>
      <c r="J11" s="28"/>
      <c r="K11" s="32">
        <f>'Customs Invoice'!K11</f>
        <v>0</v>
      </c>
      <c r="L11" s="125"/>
      <c r="M11" s="126"/>
      <c r="N11" s="58"/>
      <c r="O11" s="58"/>
    </row>
    <row r="12" spans="1:15" s="6" customFormat="1" ht="13.5" customHeight="1">
      <c r="A12" s="20"/>
      <c r="B12" s="30">
        <f>'Customs Invoice'!B12</f>
        <v>0</v>
      </c>
      <c r="C12" s="21"/>
      <c r="D12" s="30"/>
      <c r="E12" s="30"/>
      <c r="F12" s="30"/>
      <c r="G12" s="30"/>
      <c r="H12" s="22"/>
      <c r="I12" s="18" t="s">
        <v>12</v>
      </c>
      <c r="J12" s="31"/>
      <c r="K12" s="59"/>
      <c r="L12" s="37"/>
      <c r="M12" s="35"/>
      <c r="N12" s="60"/>
      <c r="O12" s="58"/>
    </row>
    <row r="13" spans="1:15" s="6" customFormat="1" ht="13.5" customHeight="1">
      <c r="A13" s="20"/>
      <c r="B13" s="30">
        <f>'Customs Invoice'!B13</f>
        <v>0</v>
      </c>
      <c r="C13" s="21"/>
      <c r="D13" s="30"/>
      <c r="E13" s="30"/>
      <c r="F13" s="30"/>
      <c r="G13" s="30"/>
      <c r="H13" s="22"/>
      <c r="I13" s="14" t="s">
        <v>13</v>
      </c>
      <c r="J13" s="23"/>
      <c r="K13" s="29" t="s">
        <v>14</v>
      </c>
      <c r="L13" s="16" t="s">
        <v>15</v>
      </c>
      <c r="M13" s="17"/>
      <c r="N13" s="60"/>
      <c r="O13" s="61"/>
    </row>
    <row r="14" spans="1:15" s="6" customFormat="1" ht="13.5" customHeight="1">
      <c r="A14" s="25"/>
      <c r="B14" s="32">
        <f>'Customs Invoice'!B14</f>
        <v>0</v>
      </c>
      <c r="C14" s="32"/>
      <c r="D14" s="26"/>
      <c r="E14" s="26"/>
      <c r="F14" s="26"/>
      <c r="G14" s="26"/>
      <c r="H14" s="27"/>
      <c r="I14" s="20"/>
      <c r="J14" s="28"/>
      <c r="K14" s="21" t="s">
        <v>16</v>
      </c>
      <c r="L14" s="21"/>
      <c r="M14" s="22"/>
      <c r="N14" s="60"/>
      <c r="O14" s="61"/>
    </row>
    <row r="15" spans="1:15" s="6" customFormat="1" ht="13.5" customHeight="1">
      <c r="A15" s="33" t="s">
        <v>17</v>
      </c>
      <c r="B15" s="122">
        <f>'Customs Invoice'!B15</f>
        <v>0</v>
      </c>
      <c r="C15" s="86"/>
      <c r="D15" s="34" t="s">
        <v>18</v>
      </c>
      <c r="E15" s="34"/>
      <c r="F15" s="34"/>
      <c r="G15" s="34"/>
      <c r="H15" s="35"/>
      <c r="I15" s="20"/>
      <c r="J15" s="36"/>
      <c r="K15" s="21" t="s">
        <v>19</v>
      </c>
      <c r="L15" s="62"/>
      <c r="M15" s="22"/>
      <c r="N15" s="60"/>
      <c r="O15" s="61"/>
    </row>
    <row r="16" spans="1:15" s="6" customFormat="1" ht="13.5" customHeight="1">
      <c r="A16" s="18" t="s">
        <v>20</v>
      </c>
      <c r="B16" s="59">
        <f>'Customs Invoice'!B16</f>
        <v>0</v>
      </c>
      <c r="D16" s="37" t="s">
        <v>21</v>
      </c>
      <c r="E16" s="37"/>
      <c r="F16" s="37"/>
      <c r="G16" s="37"/>
      <c r="H16" s="35"/>
      <c r="I16" s="25"/>
      <c r="J16" s="26"/>
      <c r="K16" s="26" t="s">
        <v>22</v>
      </c>
      <c r="L16" s="91">
        <f>'Customs Invoice'!L16</f>
        <v>1</v>
      </c>
      <c r="M16" s="27"/>
      <c r="N16" s="61"/>
      <c r="O16" s="58"/>
    </row>
    <row r="17" spans="1:15" s="6" customFormat="1" ht="13.5" customHeight="1">
      <c r="A17" s="38" t="s">
        <v>23</v>
      </c>
      <c r="B17" s="37"/>
      <c r="C17" s="37"/>
      <c r="D17" s="37"/>
      <c r="E17" s="37"/>
      <c r="F17" s="37"/>
      <c r="G17" s="37"/>
      <c r="H17" s="35"/>
      <c r="I17" s="18" t="s">
        <v>24</v>
      </c>
      <c r="J17" s="19"/>
      <c r="K17" s="59" t="s">
        <v>25</v>
      </c>
      <c r="L17" s="37"/>
      <c r="M17" s="35"/>
      <c r="N17" s="58"/>
      <c r="O17" s="58"/>
    </row>
    <row r="18" spans="1:15" s="6" customFormat="1" ht="15" customHeight="1">
      <c r="A18" s="39"/>
      <c r="B18" s="21"/>
      <c r="C18" s="21"/>
      <c r="D18" s="21"/>
      <c r="E18" s="21"/>
      <c r="F18" s="21"/>
      <c r="G18" s="21"/>
      <c r="H18" s="24"/>
      <c r="I18" s="30"/>
      <c r="J18" s="21"/>
      <c r="K18" s="30"/>
      <c r="L18" s="30"/>
      <c r="M18" s="21"/>
      <c r="N18" s="58"/>
      <c r="O18" s="58"/>
    </row>
    <row r="19" spans="1:15" s="6" customFormat="1" ht="25.5" customHeight="1" thickBot="1">
      <c r="A19" s="30"/>
      <c r="B19" s="40" t="s">
        <v>26</v>
      </c>
      <c r="C19" s="21"/>
      <c r="D19" s="41"/>
      <c r="E19" s="21"/>
      <c r="F19" s="21"/>
      <c r="G19" s="21"/>
      <c r="H19" s="21"/>
      <c r="I19" s="63"/>
      <c r="J19" s="13"/>
      <c r="K19" s="64"/>
      <c r="L19" s="64"/>
      <c r="M19" s="65"/>
      <c r="N19" s="66"/>
      <c r="O19" s="58"/>
    </row>
    <row r="20" spans="1:15" s="6" customFormat="1" ht="39" customHeight="1">
      <c r="A20" s="42"/>
      <c r="B20" s="43" t="s">
        <v>27</v>
      </c>
      <c r="C20" s="44" t="s">
        <v>28</v>
      </c>
      <c r="D20" s="44" t="s">
        <v>29</v>
      </c>
      <c r="E20" s="45" t="s">
        <v>30</v>
      </c>
      <c r="F20" s="45" t="s">
        <v>31</v>
      </c>
      <c r="G20" s="414" t="s">
        <v>32</v>
      </c>
      <c r="H20" s="414"/>
      <c r="I20" s="45" t="s">
        <v>33</v>
      </c>
      <c r="J20" s="67" t="s">
        <v>34</v>
      </c>
      <c r="K20" s="438" t="s">
        <v>52</v>
      </c>
      <c r="L20" s="438"/>
      <c r="M20" s="439"/>
      <c r="N20" s="66"/>
      <c r="O20" s="58"/>
    </row>
    <row r="21" spans="1:15" s="6" customFormat="1" ht="18" customHeight="1">
      <c r="A21" s="30"/>
      <c r="B21" s="46">
        <f>'Customs Invoice'!B21</f>
        <v>1</v>
      </c>
      <c r="C21" s="94" t="e">
        <f>'Customs Invoice'!C21</f>
        <v>#N/A</v>
      </c>
      <c r="D21" s="47" t="e">
        <f>'Customs Invoice'!D21</f>
        <v>#N/A</v>
      </c>
      <c r="E21" s="48" t="e">
        <f>'Customs Invoice'!E21</f>
        <v>#N/A</v>
      </c>
      <c r="F21" s="48"/>
      <c r="G21" s="49">
        <f>'Customs Invoice'!G21</f>
        <v>0</v>
      </c>
      <c r="H21" s="50" t="e">
        <f>'Customs Invoice'!H21</f>
        <v>#N/A</v>
      </c>
      <c r="I21" s="68">
        <f>'Customs Invoice'!I21</f>
        <v>0</v>
      </c>
      <c r="J21" s="95" t="e">
        <f>'Customs Invoice'!J21</f>
        <v>#DIV/0!</v>
      </c>
      <c r="K21" s="440">
        <v>1</v>
      </c>
      <c r="L21" s="440"/>
      <c r="M21" s="427"/>
      <c r="N21" s="66"/>
      <c r="O21" s="58"/>
    </row>
    <row r="22" spans="1:15" s="6" customFormat="1" ht="18" customHeight="1">
      <c r="A22" s="30"/>
      <c r="B22" s="46">
        <f>'Customs Invoice'!B22</f>
        <v>2</v>
      </c>
      <c r="C22" s="94" t="e">
        <f>'Customs Invoice'!C22</f>
        <v>#N/A</v>
      </c>
      <c r="D22" s="47" t="e">
        <f>'Customs Invoice'!D22</f>
        <v>#N/A</v>
      </c>
      <c r="E22" s="48" t="e">
        <f>'Customs Invoice'!E22</f>
        <v>#N/A</v>
      </c>
      <c r="F22" s="48"/>
      <c r="G22" s="49">
        <f>'Customs Invoice'!G22</f>
        <v>0</v>
      </c>
      <c r="H22" s="50" t="e">
        <f>'Customs Invoice'!H22</f>
        <v>#N/A</v>
      </c>
      <c r="I22" s="68">
        <f>'Customs Invoice'!I22</f>
        <v>0</v>
      </c>
      <c r="J22" s="95">
        <f>'Customs Invoice'!J22</f>
        <v>0</v>
      </c>
      <c r="K22" s="440"/>
      <c r="L22" s="440"/>
      <c r="M22" s="427"/>
      <c r="N22" s="66"/>
      <c r="O22" s="58"/>
    </row>
    <row r="23" spans="1:15" s="6" customFormat="1" ht="18" customHeight="1">
      <c r="A23" s="30"/>
      <c r="B23" s="46">
        <f>'Customs Invoice'!B23</f>
        <v>3</v>
      </c>
      <c r="C23" s="94" t="e">
        <f>'Customs Invoice'!C23</f>
        <v>#N/A</v>
      </c>
      <c r="D23" s="47" t="e">
        <f>'Customs Invoice'!D23</f>
        <v>#N/A</v>
      </c>
      <c r="E23" s="48" t="e">
        <f>'Customs Invoice'!E23</f>
        <v>#N/A</v>
      </c>
      <c r="F23" s="48"/>
      <c r="G23" s="49">
        <f>'Customs Invoice'!G23</f>
        <v>0</v>
      </c>
      <c r="H23" s="50" t="e">
        <f>'Customs Invoice'!H23</f>
        <v>#N/A</v>
      </c>
      <c r="I23" s="68">
        <f>'Customs Invoice'!I23</f>
        <v>0</v>
      </c>
      <c r="J23" s="95">
        <f>'Customs Invoice'!J23</f>
        <v>0</v>
      </c>
      <c r="K23" s="440"/>
      <c r="L23" s="440"/>
      <c r="M23" s="427"/>
      <c r="N23" s="66"/>
      <c r="O23" s="58"/>
    </row>
    <row r="24" spans="1:15" s="6" customFormat="1" ht="18" customHeight="1">
      <c r="A24" s="30"/>
      <c r="B24" s="46">
        <f>'Customs Invoice'!B24</f>
        <v>4</v>
      </c>
      <c r="C24" s="94" t="e">
        <f>'Customs Invoice'!C24</f>
        <v>#N/A</v>
      </c>
      <c r="D24" s="47" t="e">
        <f>'Customs Invoice'!D24</f>
        <v>#N/A</v>
      </c>
      <c r="E24" s="48" t="e">
        <f>'Customs Invoice'!E24</f>
        <v>#N/A</v>
      </c>
      <c r="F24" s="48"/>
      <c r="G24" s="49">
        <f>'Customs Invoice'!G24</f>
        <v>0</v>
      </c>
      <c r="H24" s="50" t="e">
        <f>'Customs Invoice'!H24</f>
        <v>#N/A</v>
      </c>
      <c r="I24" s="68">
        <f>'Customs Invoice'!I24</f>
        <v>0</v>
      </c>
      <c r="J24" s="95">
        <f>'Customs Invoice'!J24</f>
        <v>0</v>
      </c>
      <c r="K24" s="440"/>
      <c r="L24" s="440"/>
      <c r="M24" s="427"/>
      <c r="N24" s="66"/>
      <c r="O24" s="58"/>
    </row>
    <row r="25" spans="1:15" s="6" customFormat="1" ht="18" customHeight="1">
      <c r="A25" s="30"/>
      <c r="B25" s="46">
        <f>'Customs Invoice'!B25</f>
        <v>5</v>
      </c>
      <c r="C25" s="94" t="e">
        <f>'Customs Invoice'!C25</f>
        <v>#N/A</v>
      </c>
      <c r="D25" s="47" t="e">
        <f>'Customs Invoice'!D25</f>
        <v>#N/A</v>
      </c>
      <c r="E25" s="48" t="e">
        <f>'Customs Invoice'!E25</f>
        <v>#N/A</v>
      </c>
      <c r="F25" s="48"/>
      <c r="G25" s="49">
        <f>'Customs Invoice'!G25</f>
        <v>0</v>
      </c>
      <c r="H25" s="50" t="e">
        <f>'Customs Invoice'!H25</f>
        <v>#N/A</v>
      </c>
      <c r="I25" s="68">
        <f>'Customs Invoice'!I25</f>
        <v>0</v>
      </c>
      <c r="J25" s="95">
        <f>'Customs Invoice'!J25</f>
        <v>0</v>
      </c>
      <c r="K25" s="440"/>
      <c r="L25" s="440"/>
      <c r="M25" s="427"/>
      <c r="N25" s="66"/>
      <c r="O25" s="58"/>
    </row>
    <row r="26" spans="1:15" s="6" customFormat="1" ht="18" customHeight="1">
      <c r="A26" s="30"/>
      <c r="B26" s="46">
        <f>'Customs Invoice'!B26</f>
        <v>6</v>
      </c>
      <c r="C26" s="94" t="e">
        <f>'Customs Invoice'!C26</f>
        <v>#N/A</v>
      </c>
      <c r="D26" s="47" t="e">
        <f>'Customs Invoice'!D26</f>
        <v>#N/A</v>
      </c>
      <c r="E26" s="48" t="e">
        <f>'Customs Invoice'!E26</f>
        <v>#N/A</v>
      </c>
      <c r="F26" s="48"/>
      <c r="G26" s="49">
        <f>'Customs Invoice'!G26</f>
        <v>0</v>
      </c>
      <c r="H26" s="50" t="e">
        <f>'Customs Invoice'!H26</f>
        <v>#N/A</v>
      </c>
      <c r="I26" s="68">
        <f>'Customs Invoice'!I26</f>
        <v>0</v>
      </c>
      <c r="J26" s="95">
        <f>'Customs Invoice'!J26</f>
        <v>0</v>
      </c>
      <c r="K26" s="440"/>
      <c r="L26" s="440"/>
      <c r="M26" s="427"/>
      <c r="N26" s="66"/>
      <c r="O26" s="58"/>
    </row>
    <row r="27" spans="1:15" s="6" customFormat="1" ht="18" customHeight="1">
      <c r="A27" s="30"/>
      <c r="B27" s="46">
        <f>'Customs Invoice'!B27</f>
        <v>7</v>
      </c>
      <c r="C27" s="94" t="e">
        <f>'Customs Invoice'!C27</f>
        <v>#N/A</v>
      </c>
      <c r="D27" s="47" t="e">
        <f>'Customs Invoice'!D27</f>
        <v>#N/A</v>
      </c>
      <c r="E27" s="48" t="e">
        <f>'Customs Invoice'!E27</f>
        <v>#N/A</v>
      </c>
      <c r="F27" s="48"/>
      <c r="G27" s="49">
        <f>'Customs Invoice'!G27</f>
        <v>0</v>
      </c>
      <c r="H27" s="50" t="e">
        <f>'Customs Invoice'!H27</f>
        <v>#N/A</v>
      </c>
      <c r="I27" s="68">
        <f>'Customs Invoice'!I27</f>
        <v>0</v>
      </c>
      <c r="J27" s="95">
        <f>'Customs Invoice'!J27</f>
        <v>0</v>
      </c>
      <c r="K27" s="440"/>
      <c r="L27" s="440"/>
      <c r="M27" s="427"/>
      <c r="N27" s="66"/>
      <c r="O27" s="58"/>
    </row>
    <row r="28" spans="1:15" s="6" customFormat="1" ht="18" customHeight="1">
      <c r="A28" s="30"/>
      <c r="B28" s="46">
        <f>'Customs Invoice'!B28</f>
        <v>8</v>
      </c>
      <c r="C28" s="94" t="e">
        <f>'Customs Invoice'!C28</f>
        <v>#N/A</v>
      </c>
      <c r="D28" s="47" t="e">
        <f>'Customs Invoice'!D28</f>
        <v>#N/A</v>
      </c>
      <c r="E28" s="48" t="e">
        <f>'Customs Invoice'!E28</f>
        <v>#N/A</v>
      </c>
      <c r="F28" s="48"/>
      <c r="G28" s="49">
        <f>'Customs Invoice'!G28</f>
        <v>0</v>
      </c>
      <c r="H28" s="50" t="e">
        <f>'Customs Invoice'!H28</f>
        <v>#N/A</v>
      </c>
      <c r="I28" s="68">
        <f>'Customs Invoice'!I28</f>
        <v>0</v>
      </c>
      <c r="J28" s="95">
        <f>'Customs Invoice'!J28</f>
        <v>0</v>
      </c>
      <c r="K28" s="440"/>
      <c r="L28" s="440"/>
      <c r="M28" s="427"/>
      <c r="N28" s="66"/>
      <c r="O28" s="58"/>
    </row>
    <row r="29" spans="1:15" s="6" customFormat="1" ht="18" customHeight="1">
      <c r="A29" s="30"/>
      <c r="B29" s="46">
        <f>'Customs Invoice'!B29</f>
        <v>9</v>
      </c>
      <c r="C29" s="94" t="e">
        <f>'Customs Invoice'!C29</f>
        <v>#N/A</v>
      </c>
      <c r="D29" s="47" t="e">
        <f>'Customs Invoice'!D29</f>
        <v>#N/A</v>
      </c>
      <c r="E29" s="48" t="e">
        <f>'Customs Invoice'!E29</f>
        <v>#N/A</v>
      </c>
      <c r="F29" s="48"/>
      <c r="G29" s="49">
        <f>'Customs Invoice'!G29</f>
        <v>0</v>
      </c>
      <c r="H29" s="50" t="e">
        <f>'Customs Invoice'!H29</f>
        <v>#N/A</v>
      </c>
      <c r="I29" s="68">
        <f>'Customs Invoice'!I29</f>
        <v>0</v>
      </c>
      <c r="J29" s="95">
        <f>'Customs Invoice'!J29</f>
        <v>0</v>
      </c>
      <c r="K29" s="440"/>
      <c r="L29" s="440"/>
      <c r="M29" s="427"/>
      <c r="N29" s="66"/>
      <c r="O29" s="58"/>
    </row>
    <row r="30" spans="1:15" s="6" customFormat="1" ht="18" customHeight="1">
      <c r="A30" s="30"/>
      <c r="B30" s="46">
        <f>'Customs Invoice'!B30</f>
        <v>10</v>
      </c>
      <c r="C30" s="94" t="e">
        <f>'Customs Invoice'!C30</f>
        <v>#N/A</v>
      </c>
      <c r="D30" s="47" t="e">
        <f>'Customs Invoice'!D30</f>
        <v>#N/A</v>
      </c>
      <c r="E30" s="48" t="e">
        <f>'Customs Invoice'!E30</f>
        <v>#N/A</v>
      </c>
      <c r="F30" s="48"/>
      <c r="G30" s="49">
        <f>'Customs Invoice'!G30</f>
        <v>0</v>
      </c>
      <c r="H30" s="50" t="e">
        <f>'Customs Invoice'!H30</f>
        <v>#N/A</v>
      </c>
      <c r="I30" s="68">
        <f>'Customs Invoice'!I30</f>
        <v>0</v>
      </c>
      <c r="J30" s="95">
        <f>'Customs Invoice'!J30</f>
        <v>0</v>
      </c>
      <c r="K30" s="440"/>
      <c r="L30" s="440"/>
      <c r="M30" s="427"/>
      <c r="N30" s="66"/>
      <c r="O30" s="58"/>
    </row>
    <row r="31" spans="1:15" s="6" customFormat="1" ht="18" customHeight="1">
      <c r="A31" s="30"/>
      <c r="B31" s="46">
        <f>'Customs Invoice'!B31</f>
        <v>11</v>
      </c>
      <c r="C31" s="94" t="e">
        <f>'Customs Invoice'!C31</f>
        <v>#N/A</v>
      </c>
      <c r="D31" s="47" t="e">
        <f>'Customs Invoice'!D31</f>
        <v>#N/A</v>
      </c>
      <c r="E31" s="48" t="e">
        <f>'Customs Invoice'!E31</f>
        <v>#N/A</v>
      </c>
      <c r="F31" s="48"/>
      <c r="G31" s="49">
        <f>'Customs Invoice'!G31</f>
        <v>0</v>
      </c>
      <c r="H31" s="50" t="e">
        <f>'Customs Invoice'!H31</f>
        <v>#N/A</v>
      </c>
      <c r="I31" s="68">
        <f>'Customs Invoice'!I31</f>
        <v>0</v>
      </c>
      <c r="J31" s="95">
        <f>'Customs Invoice'!J31</f>
        <v>0</v>
      </c>
      <c r="K31" s="440"/>
      <c r="L31" s="440"/>
      <c r="M31" s="427"/>
      <c r="N31" s="66"/>
      <c r="O31" s="58"/>
    </row>
    <row r="32" spans="1:15" s="6" customFormat="1" ht="18" customHeight="1">
      <c r="A32" s="30"/>
      <c r="B32" s="46">
        <f>'Customs Invoice'!B32</f>
        <v>12</v>
      </c>
      <c r="C32" s="94" t="e">
        <f>'Customs Invoice'!C32</f>
        <v>#N/A</v>
      </c>
      <c r="D32" s="47" t="e">
        <f>'Customs Invoice'!D32</f>
        <v>#N/A</v>
      </c>
      <c r="E32" s="48" t="e">
        <f>'Customs Invoice'!E32</f>
        <v>#N/A</v>
      </c>
      <c r="F32" s="48"/>
      <c r="G32" s="49">
        <f>'Customs Invoice'!G32</f>
        <v>0</v>
      </c>
      <c r="H32" s="50" t="e">
        <f>'Customs Invoice'!H32</f>
        <v>#N/A</v>
      </c>
      <c r="I32" s="68">
        <f>'Customs Invoice'!I32</f>
        <v>0</v>
      </c>
      <c r="J32" s="95">
        <f>'Customs Invoice'!J32</f>
        <v>0</v>
      </c>
      <c r="K32" s="440"/>
      <c r="L32" s="440"/>
      <c r="M32" s="427"/>
      <c r="N32" s="66"/>
      <c r="O32" s="58"/>
    </row>
    <row r="33" spans="1:15" s="6" customFormat="1" ht="18" customHeight="1">
      <c r="A33" s="30"/>
      <c r="B33" s="46">
        <f>'Customs Invoice'!B33</f>
        <v>13</v>
      </c>
      <c r="C33" s="94" t="e">
        <f>'Customs Invoice'!C33</f>
        <v>#N/A</v>
      </c>
      <c r="D33" s="47" t="e">
        <f>'Customs Invoice'!D33</f>
        <v>#N/A</v>
      </c>
      <c r="E33" s="48" t="e">
        <f>'Customs Invoice'!E33</f>
        <v>#N/A</v>
      </c>
      <c r="F33" s="48"/>
      <c r="G33" s="49">
        <f>'Customs Invoice'!G33</f>
        <v>0</v>
      </c>
      <c r="H33" s="50" t="e">
        <f>'Customs Invoice'!H33</f>
        <v>#N/A</v>
      </c>
      <c r="I33" s="68">
        <f>'Customs Invoice'!I33</f>
        <v>0</v>
      </c>
      <c r="J33" s="95">
        <f>'Customs Invoice'!J33</f>
        <v>0</v>
      </c>
      <c r="K33" s="440"/>
      <c r="L33" s="440"/>
      <c r="M33" s="427"/>
      <c r="N33" s="66"/>
      <c r="O33" s="58"/>
    </row>
    <row r="34" spans="1:15" s="6" customFormat="1" ht="18" customHeight="1">
      <c r="A34" s="30"/>
      <c r="B34" s="46">
        <f>'Customs Invoice'!B34</f>
        <v>14</v>
      </c>
      <c r="C34" s="94" t="e">
        <f>'Customs Invoice'!C34</f>
        <v>#N/A</v>
      </c>
      <c r="D34" s="47" t="e">
        <f>'Customs Invoice'!D34</f>
        <v>#N/A</v>
      </c>
      <c r="E34" s="48" t="e">
        <f>'Customs Invoice'!E34</f>
        <v>#N/A</v>
      </c>
      <c r="F34" s="48"/>
      <c r="G34" s="49">
        <f>'Customs Invoice'!G34</f>
        <v>0</v>
      </c>
      <c r="H34" s="50" t="e">
        <f>'Customs Invoice'!H34</f>
        <v>#N/A</v>
      </c>
      <c r="I34" s="68">
        <f>'Customs Invoice'!I34</f>
        <v>0</v>
      </c>
      <c r="J34" s="95">
        <f>'Customs Invoice'!J34</f>
        <v>0</v>
      </c>
      <c r="K34" s="440"/>
      <c r="L34" s="440"/>
      <c r="M34" s="427"/>
      <c r="N34" s="66"/>
      <c r="O34" s="58"/>
    </row>
    <row r="35" spans="1:15" s="6" customFormat="1" ht="18" customHeight="1">
      <c r="A35" s="30"/>
      <c r="B35" s="46">
        <f>'Customs Invoice'!B35</f>
        <v>15</v>
      </c>
      <c r="C35" s="94" t="e">
        <f>'Customs Invoice'!C35</f>
        <v>#N/A</v>
      </c>
      <c r="D35" s="47" t="e">
        <f>'Customs Invoice'!D35</f>
        <v>#N/A</v>
      </c>
      <c r="E35" s="48" t="e">
        <f>'Customs Invoice'!E35</f>
        <v>#N/A</v>
      </c>
      <c r="F35" s="48"/>
      <c r="G35" s="49">
        <f>'Customs Invoice'!G35</f>
        <v>0</v>
      </c>
      <c r="H35" s="50" t="e">
        <f>'Customs Invoice'!H35</f>
        <v>#N/A</v>
      </c>
      <c r="I35" s="68">
        <f>'Customs Invoice'!I35</f>
        <v>0</v>
      </c>
      <c r="J35" s="95">
        <f>'Customs Invoice'!J35</f>
        <v>0</v>
      </c>
      <c r="K35" s="440"/>
      <c r="L35" s="440"/>
      <c r="M35" s="427"/>
      <c r="N35" s="66"/>
      <c r="O35" s="58"/>
    </row>
    <row r="36" spans="1:15" s="6" customFormat="1" ht="18" customHeight="1">
      <c r="A36" s="30"/>
      <c r="B36" s="46">
        <f>'Customs Invoice'!B36</f>
        <v>16</v>
      </c>
      <c r="C36" s="94" t="e">
        <f>'Customs Invoice'!C36</f>
        <v>#N/A</v>
      </c>
      <c r="D36" s="47" t="e">
        <f>'Customs Invoice'!D36</f>
        <v>#N/A</v>
      </c>
      <c r="E36" s="48" t="e">
        <f>'Customs Invoice'!E36</f>
        <v>#N/A</v>
      </c>
      <c r="F36" s="48"/>
      <c r="G36" s="49">
        <f>'Customs Invoice'!G36</f>
        <v>0</v>
      </c>
      <c r="H36" s="50" t="e">
        <f>'Customs Invoice'!H36</f>
        <v>#N/A</v>
      </c>
      <c r="I36" s="68">
        <f>'Customs Invoice'!I36</f>
        <v>0</v>
      </c>
      <c r="J36" s="95">
        <f>'Customs Invoice'!J36</f>
        <v>0</v>
      </c>
      <c r="K36" s="440"/>
      <c r="L36" s="440"/>
      <c r="M36" s="427"/>
      <c r="N36" s="66"/>
      <c r="O36" s="58"/>
    </row>
    <row r="37" spans="1:15" s="6" customFormat="1" ht="18" customHeight="1">
      <c r="A37" s="30"/>
      <c r="B37" s="46">
        <f>'Customs Invoice'!B37</f>
        <v>17</v>
      </c>
      <c r="C37" s="94" t="e">
        <f>'Customs Invoice'!C37</f>
        <v>#N/A</v>
      </c>
      <c r="D37" s="47" t="e">
        <f>'Customs Invoice'!D37</f>
        <v>#N/A</v>
      </c>
      <c r="E37" s="48" t="e">
        <f>'Customs Invoice'!E37</f>
        <v>#N/A</v>
      </c>
      <c r="F37" s="48"/>
      <c r="G37" s="49">
        <f>'Customs Invoice'!G37</f>
        <v>0</v>
      </c>
      <c r="H37" s="50" t="e">
        <f>'Customs Invoice'!H37</f>
        <v>#N/A</v>
      </c>
      <c r="I37" s="68">
        <f>'Customs Invoice'!I37</f>
        <v>0</v>
      </c>
      <c r="J37" s="95">
        <f>'Customs Invoice'!J37</f>
        <v>0</v>
      </c>
      <c r="K37" s="440"/>
      <c r="L37" s="440"/>
      <c r="M37" s="427"/>
      <c r="N37" s="66"/>
      <c r="O37" s="58"/>
    </row>
    <row r="38" spans="1:15" s="6" customFormat="1" ht="18" customHeight="1">
      <c r="A38" s="30"/>
      <c r="B38" s="46">
        <f>'Customs Invoice'!B38</f>
        <v>18</v>
      </c>
      <c r="C38" s="94" t="e">
        <f>'Customs Invoice'!C38</f>
        <v>#N/A</v>
      </c>
      <c r="D38" s="47" t="e">
        <f>'Customs Invoice'!D38</f>
        <v>#N/A</v>
      </c>
      <c r="E38" s="48" t="e">
        <f>'Customs Invoice'!E38</f>
        <v>#N/A</v>
      </c>
      <c r="F38" s="48"/>
      <c r="G38" s="49">
        <f>'Customs Invoice'!G38</f>
        <v>0</v>
      </c>
      <c r="H38" s="50" t="e">
        <f>'Customs Invoice'!H38</f>
        <v>#N/A</v>
      </c>
      <c r="I38" s="68">
        <f>'Customs Invoice'!I38</f>
        <v>0</v>
      </c>
      <c r="J38" s="95">
        <f>'Customs Invoice'!J38</f>
        <v>0</v>
      </c>
      <c r="K38" s="440"/>
      <c r="L38" s="440"/>
      <c r="M38" s="427"/>
      <c r="N38" s="66"/>
      <c r="O38" s="58"/>
    </row>
    <row r="39" spans="1:15" s="6" customFormat="1" ht="18" customHeight="1">
      <c r="A39" s="30"/>
      <c r="B39" s="46">
        <f>'Customs Invoice'!B39</f>
        <v>19</v>
      </c>
      <c r="C39" s="94" t="e">
        <f>'Customs Invoice'!C39</f>
        <v>#N/A</v>
      </c>
      <c r="D39" s="47" t="e">
        <f>'Customs Invoice'!D39</f>
        <v>#N/A</v>
      </c>
      <c r="E39" s="48" t="e">
        <f>'Customs Invoice'!E39</f>
        <v>#N/A</v>
      </c>
      <c r="F39" s="48"/>
      <c r="G39" s="49">
        <f>'Customs Invoice'!G39</f>
        <v>0</v>
      </c>
      <c r="H39" s="50" t="e">
        <f>'Customs Invoice'!H39</f>
        <v>#N/A</v>
      </c>
      <c r="I39" s="68">
        <f>'Customs Invoice'!I39</f>
        <v>0</v>
      </c>
      <c r="J39" s="95">
        <f>'Customs Invoice'!J39</f>
        <v>0</v>
      </c>
      <c r="K39" s="440"/>
      <c r="L39" s="440"/>
      <c r="M39" s="427"/>
      <c r="N39" s="66"/>
      <c r="O39" s="58"/>
    </row>
    <row r="40" spans="1:15" s="6" customFormat="1" ht="18" customHeight="1">
      <c r="A40" s="30"/>
      <c r="B40" s="46">
        <f>'Customs Invoice'!B40</f>
        <v>20</v>
      </c>
      <c r="C40" s="94" t="e">
        <f>'Customs Invoice'!C40</f>
        <v>#N/A</v>
      </c>
      <c r="D40" s="47" t="e">
        <f>'Customs Invoice'!D40</f>
        <v>#N/A</v>
      </c>
      <c r="E40" s="48" t="e">
        <f>'Customs Invoice'!E40</f>
        <v>#N/A</v>
      </c>
      <c r="F40" s="48"/>
      <c r="G40" s="49">
        <f>'Customs Invoice'!G40</f>
        <v>0</v>
      </c>
      <c r="H40" s="50" t="e">
        <f>'Customs Invoice'!H40</f>
        <v>#N/A</v>
      </c>
      <c r="I40" s="68">
        <f>'Customs Invoice'!I40</f>
        <v>0</v>
      </c>
      <c r="J40" s="95">
        <f>'Customs Invoice'!J40</f>
        <v>0</v>
      </c>
      <c r="K40" s="429"/>
      <c r="L40" s="429"/>
      <c r="M40" s="430"/>
      <c r="N40" s="66"/>
      <c r="O40" s="58"/>
    </row>
    <row r="41" spans="1:15" s="6" customFormat="1" ht="22.5" customHeight="1" thickBot="1">
      <c r="A41" s="30"/>
      <c r="B41" s="51"/>
      <c r="C41" s="99"/>
      <c r="D41" s="52"/>
      <c r="E41" s="53" t="s">
        <v>38</v>
      </c>
      <c r="F41" s="53"/>
      <c r="G41" s="423">
        <f>SUM(G21:G40)</f>
        <v>0</v>
      </c>
      <c r="H41" s="424"/>
      <c r="I41" s="71">
        <f t="shared" ref="I41:J41" si="0">SUM(I21:I40)</f>
        <v>0</v>
      </c>
      <c r="J41" s="72" t="e">
        <f t="shared" si="0"/>
        <v>#DIV/0!</v>
      </c>
      <c r="K41" s="431">
        <f>SUM(K21)</f>
        <v>1</v>
      </c>
      <c r="L41" s="431"/>
      <c r="M41" s="432"/>
      <c r="N41" s="66"/>
      <c r="O41" s="58"/>
    </row>
    <row r="42" spans="1:15" s="6" customFormat="1" ht="15" hidden="1" customHeight="1">
      <c r="A42" s="39"/>
      <c r="B42" s="21"/>
      <c r="C42" s="102"/>
      <c r="D42" s="21"/>
      <c r="E42" s="21"/>
      <c r="F42" s="21"/>
      <c r="G42" s="21"/>
      <c r="H42" s="24"/>
      <c r="I42" s="30"/>
      <c r="J42" s="21"/>
      <c r="K42" s="30"/>
      <c r="L42" s="30"/>
      <c r="M42" s="21"/>
      <c r="N42" s="58"/>
      <c r="O42" s="58"/>
    </row>
    <row r="43" spans="1:15" s="6" customFormat="1" ht="25.5" hidden="1" customHeight="1" thickBot="1">
      <c r="A43" s="30"/>
      <c r="B43" s="40" t="s">
        <v>39</v>
      </c>
      <c r="C43" s="102"/>
      <c r="D43" s="41"/>
      <c r="E43" s="21"/>
      <c r="F43" s="21"/>
      <c r="G43" s="21"/>
      <c r="H43" s="21"/>
      <c r="I43" s="63"/>
      <c r="J43" s="13"/>
      <c r="K43" s="64"/>
      <c r="L43" s="64"/>
      <c r="M43" s="65"/>
      <c r="N43" s="66"/>
      <c r="O43" s="58"/>
    </row>
    <row r="44" spans="1:15" s="6" customFormat="1" ht="39" hidden="1" customHeight="1">
      <c r="A44" s="42"/>
      <c r="B44" s="43" t="s">
        <v>27</v>
      </c>
      <c r="C44" s="44" t="s">
        <v>28</v>
      </c>
      <c r="D44" s="44" t="s">
        <v>29</v>
      </c>
      <c r="E44" s="45" t="s">
        <v>30</v>
      </c>
      <c r="F44" s="45" t="s">
        <v>31</v>
      </c>
      <c r="G44" s="414" t="s">
        <v>32</v>
      </c>
      <c r="H44" s="414"/>
      <c r="I44" s="45" t="s">
        <v>33</v>
      </c>
      <c r="J44" s="67" t="s">
        <v>34</v>
      </c>
      <c r="K44" s="437" t="s">
        <v>52</v>
      </c>
      <c r="L44" s="438"/>
      <c r="M44" s="439"/>
      <c r="N44" s="66"/>
      <c r="O44" s="58"/>
    </row>
    <row r="45" spans="1:15" s="6" customFormat="1" ht="18" hidden="1" customHeight="1">
      <c r="A45" s="30"/>
      <c r="B45" s="46">
        <f>'Customs Invoice'!B45</f>
        <v>0</v>
      </c>
      <c r="C45" s="94" t="e">
        <f>'Customs Invoice'!C45</f>
        <v>#N/A</v>
      </c>
      <c r="D45" s="47" t="e">
        <f>'Customs Invoice'!D45</f>
        <v>#N/A</v>
      </c>
      <c r="E45" s="48" t="e">
        <f>'Customs Invoice'!E45</f>
        <v>#N/A</v>
      </c>
      <c r="F45" s="48"/>
      <c r="G45" s="49">
        <f>'Customs Invoice'!G45</f>
        <v>0</v>
      </c>
      <c r="H45" s="50" t="e">
        <f>'Customs Invoice'!H45</f>
        <v>#N/A</v>
      </c>
      <c r="I45" s="68">
        <f>'Customs Invoice'!I45</f>
        <v>0</v>
      </c>
      <c r="J45" s="95">
        <f>'Customs Invoice'!J45</f>
        <v>0</v>
      </c>
      <c r="K45" s="425">
        <v>1</v>
      </c>
      <c r="L45" s="426"/>
      <c r="M45" s="427"/>
      <c r="N45" s="66"/>
      <c r="O45" s="58"/>
    </row>
    <row r="46" spans="1:15" s="6" customFormat="1" ht="18" hidden="1" customHeight="1">
      <c r="A46" s="30"/>
      <c r="B46" s="46">
        <f>'Customs Invoice'!B46</f>
        <v>0</v>
      </c>
      <c r="C46" s="94" t="e">
        <f>'Customs Invoice'!C46</f>
        <v>#N/A</v>
      </c>
      <c r="D46" s="47" t="e">
        <f>'Customs Invoice'!D46</f>
        <v>#N/A</v>
      </c>
      <c r="E46" s="48" t="e">
        <f>'Customs Invoice'!E46</f>
        <v>#N/A</v>
      </c>
      <c r="F46" s="48"/>
      <c r="G46" s="49">
        <f>'Customs Invoice'!G46</f>
        <v>0</v>
      </c>
      <c r="H46" s="50" t="e">
        <f>'Customs Invoice'!H46</f>
        <v>#N/A</v>
      </c>
      <c r="I46" s="68">
        <f>'Customs Invoice'!I46</f>
        <v>0</v>
      </c>
      <c r="J46" s="95">
        <f>'Customs Invoice'!J46</f>
        <v>0</v>
      </c>
      <c r="K46" s="425"/>
      <c r="L46" s="426"/>
      <c r="M46" s="427"/>
      <c r="N46" s="66"/>
      <c r="O46" s="58"/>
    </row>
    <row r="47" spans="1:15" s="6" customFormat="1" ht="18" hidden="1" customHeight="1">
      <c r="A47" s="30"/>
      <c r="B47" s="46">
        <f>'Customs Invoice'!B47</f>
        <v>0</v>
      </c>
      <c r="C47" s="94" t="e">
        <f>'Customs Invoice'!C47</f>
        <v>#N/A</v>
      </c>
      <c r="D47" s="47" t="e">
        <f>'Customs Invoice'!D47</f>
        <v>#N/A</v>
      </c>
      <c r="E47" s="48" t="e">
        <f>'Customs Invoice'!E47</f>
        <v>#N/A</v>
      </c>
      <c r="F47" s="48"/>
      <c r="G47" s="49">
        <f>'Customs Invoice'!G47</f>
        <v>0</v>
      </c>
      <c r="H47" s="50" t="e">
        <f>'Customs Invoice'!H47</f>
        <v>#N/A</v>
      </c>
      <c r="I47" s="68">
        <f>'Customs Invoice'!I47</f>
        <v>0</v>
      </c>
      <c r="J47" s="95">
        <f>'Customs Invoice'!J47</f>
        <v>0</v>
      </c>
      <c r="K47" s="425"/>
      <c r="L47" s="426"/>
      <c r="M47" s="427"/>
      <c r="N47" s="66"/>
      <c r="O47" s="58"/>
    </row>
    <row r="48" spans="1:15" s="6" customFormat="1" ht="18" hidden="1" customHeight="1">
      <c r="A48" s="30"/>
      <c r="B48" s="46">
        <f>'Customs Invoice'!B48</f>
        <v>0</v>
      </c>
      <c r="C48" s="94" t="e">
        <f>'Customs Invoice'!C48</f>
        <v>#N/A</v>
      </c>
      <c r="D48" s="47" t="e">
        <f>'Customs Invoice'!D48</f>
        <v>#N/A</v>
      </c>
      <c r="E48" s="48" t="e">
        <f>'Customs Invoice'!E48</f>
        <v>#N/A</v>
      </c>
      <c r="F48" s="48"/>
      <c r="G48" s="49">
        <f>'Customs Invoice'!G48</f>
        <v>0</v>
      </c>
      <c r="H48" s="50" t="e">
        <f>'Customs Invoice'!H48</f>
        <v>#N/A</v>
      </c>
      <c r="I48" s="68">
        <f>'Customs Invoice'!I48</f>
        <v>0</v>
      </c>
      <c r="J48" s="95">
        <f>'Customs Invoice'!J48</f>
        <v>0</v>
      </c>
      <c r="K48" s="425"/>
      <c r="L48" s="426"/>
      <c r="M48" s="427"/>
      <c r="N48" s="66"/>
      <c r="O48" s="58"/>
    </row>
    <row r="49" spans="1:15" s="6" customFormat="1" ht="18" hidden="1" customHeight="1">
      <c r="A49" s="30"/>
      <c r="B49" s="46">
        <f>'Customs Invoice'!B49</f>
        <v>0</v>
      </c>
      <c r="C49" s="94" t="e">
        <f>'Customs Invoice'!C49</f>
        <v>#N/A</v>
      </c>
      <c r="D49" s="47" t="e">
        <f>'Customs Invoice'!D49</f>
        <v>#N/A</v>
      </c>
      <c r="E49" s="48" t="e">
        <f>'Customs Invoice'!E49</f>
        <v>#N/A</v>
      </c>
      <c r="F49" s="48"/>
      <c r="G49" s="49">
        <f>'Customs Invoice'!G49</f>
        <v>0</v>
      </c>
      <c r="H49" s="50" t="e">
        <f>'Customs Invoice'!H49</f>
        <v>#N/A</v>
      </c>
      <c r="I49" s="68">
        <f>'Customs Invoice'!I49</f>
        <v>0</v>
      </c>
      <c r="J49" s="95">
        <f>'Customs Invoice'!J49</f>
        <v>0</v>
      </c>
      <c r="K49" s="425"/>
      <c r="L49" s="426"/>
      <c r="M49" s="427"/>
      <c r="N49" s="66"/>
      <c r="O49" s="58"/>
    </row>
    <row r="50" spans="1:15" s="6" customFormat="1" ht="18" hidden="1" customHeight="1">
      <c r="A50" s="30"/>
      <c r="B50" s="46">
        <f>'Customs Invoice'!B50</f>
        <v>0</v>
      </c>
      <c r="C50" s="94" t="e">
        <f>'Customs Invoice'!C50</f>
        <v>#N/A</v>
      </c>
      <c r="D50" s="47" t="e">
        <f>'Customs Invoice'!D50</f>
        <v>#N/A</v>
      </c>
      <c r="E50" s="48" t="e">
        <f>'Customs Invoice'!E50</f>
        <v>#N/A</v>
      </c>
      <c r="F50" s="48"/>
      <c r="G50" s="49">
        <f>'Customs Invoice'!G50</f>
        <v>0</v>
      </c>
      <c r="H50" s="50" t="e">
        <f>'Customs Invoice'!H50</f>
        <v>#N/A</v>
      </c>
      <c r="I50" s="68">
        <f>'Customs Invoice'!I50</f>
        <v>0</v>
      </c>
      <c r="J50" s="95">
        <f>'Customs Invoice'!J50</f>
        <v>0</v>
      </c>
      <c r="K50" s="425"/>
      <c r="L50" s="426"/>
      <c r="M50" s="427"/>
      <c r="N50" s="66"/>
      <c r="O50" s="58"/>
    </row>
    <row r="51" spans="1:15" s="6" customFormat="1" ht="18" hidden="1" customHeight="1">
      <c r="A51" s="30"/>
      <c r="B51" s="46">
        <f>'Customs Invoice'!B51</f>
        <v>0</v>
      </c>
      <c r="C51" s="94" t="e">
        <f>'Customs Invoice'!C51</f>
        <v>#N/A</v>
      </c>
      <c r="D51" s="47" t="e">
        <f>'Customs Invoice'!D51</f>
        <v>#N/A</v>
      </c>
      <c r="E51" s="48" t="e">
        <f>'Customs Invoice'!E51</f>
        <v>#N/A</v>
      </c>
      <c r="F51" s="48"/>
      <c r="G51" s="49">
        <f>'Customs Invoice'!G51</f>
        <v>0</v>
      </c>
      <c r="H51" s="50" t="e">
        <f>'Customs Invoice'!H51</f>
        <v>#N/A</v>
      </c>
      <c r="I51" s="68">
        <f>'Customs Invoice'!I51</f>
        <v>0</v>
      </c>
      <c r="J51" s="95">
        <f>'Customs Invoice'!J51</f>
        <v>0</v>
      </c>
      <c r="K51" s="425"/>
      <c r="L51" s="426"/>
      <c r="M51" s="427"/>
      <c r="N51" s="66"/>
      <c r="O51" s="58"/>
    </row>
    <row r="52" spans="1:15" s="6" customFormat="1" ht="18" hidden="1" customHeight="1">
      <c r="A52" s="30"/>
      <c r="B52" s="46">
        <f>'Customs Invoice'!B52</f>
        <v>0</v>
      </c>
      <c r="C52" s="94" t="e">
        <f>'Customs Invoice'!C52</f>
        <v>#N/A</v>
      </c>
      <c r="D52" s="47" t="e">
        <f>'Customs Invoice'!D52</f>
        <v>#N/A</v>
      </c>
      <c r="E52" s="48" t="e">
        <f>'Customs Invoice'!E52</f>
        <v>#N/A</v>
      </c>
      <c r="F52" s="48"/>
      <c r="G52" s="49">
        <f>'Customs Invoice'!G52</f>
        <v>0</v>
      </c>
      <c r="H52" s="50" t="e">
        <f>'Customs Invoice'!H52</f>
        <v>#N/A</v>
      </c>
      <c r="I52" s="68">
        <f>'Customs Invoice'!I52</f>
        <v>0</v>
      </c>
      <c r="J52" s="95">
        <f>'Customs Invoice'!J52</f>
        <v>0</v>
      </c>
      <c r="K52" s="425"/>
      <c r="L52" s="426"/>
      <c r="M52" s="427"/>
      <c r="N52" s="66"/>
      <c r="O52" s="58"/>
    </row>
    <row r="53" spans="1:15" s="6" customFormat="1" ht="18" hidden="1" customHeight="1">
      <c r="A53" s="30"/>
      <c r="B53" s="46">
        <f>'Customs Invoice'!B53</f>
        <v>0</v>
      </c>
      <c r="C53" s="94" t="e">
        <f>'Customs Invoice'!C53</f>
        <v>#N/A</v>
      </c>
      <c r="D53" s="47" t="e">
        <f>'Customs Invoice'!D53</f>
        <v>#N/A</v>
      </c>
      <c r="E53" s="48" t="e">
        <f>'Customs Invoice'!E53</f>
        <v>#N/A</v>
      </c>
      <c r="F53" s="48"/>
      <c r="G53" s="49">
        <f>'Customs Invoice'!G53</f>
        <v>0</v>
      </c>
      <c r="H53" s="50" t="e">
        <f>'Customs Invoice'!H53</f>
        <v>#N/A</v>
      </c>
      <c r="I53" s="68">
        <f>'Customs Invoice'!I53</f>
        <v>0</v>
      </c>
      <c r="J53" s="95">
        <f>'Customs Invoice'!J53</f>
        <v>0</v>
      </c>
      <c r="K53" s="425"/>
      <c r="L53" s="426"/>
      <c r="M53" s="427"/>
      <c r="N53" s="66"/>
      <c r="O53" s="58"/>
    </row>
    <row r="54" spans="1:15" s="6" customFormat="1" ht="18" hidden="1" customHeight="1">
      <c r="A54" s="30"/>
      <c r="B54" s="46">
        <f>'Customs Invoice'!B54</f>
        <v>0</v>
      </c>
      <c r="C54" s="94" t="e">
        <f>'Customs Invoice'!C54</f>
        <v>#N/A</v>
      </c>
      <c r="D54" s="47" t="e">
        <f>'Customs Invoice'!D54</f>
        <v>#N/A</v>
      </c>
      <c r="E54" s="48" t="e">
        <f>'Customs Invoice'!E54</f>
        <v>#N/A</v>
      </c>
      <c r="F54" s="48"/>
      <c r="G54" s="49">
        <f>'Customs Invoice'!G54</f>
        <v>0</v>
      </c>
      <c r="H54" s="50" t="e">
        <f>'Customs Invoice'!H54</f>
        <v>#N/A</v>
      </c>
      <c r="I54" s="68">
        <f>'Customs Invoice'!I54</f>
        <v>0</v>
      </c>
      <c r="J54" s="95">
        <f>'Customs Invoice'!J54</f>
        <v>0</v>
      </c>
      <c r="K54" s="425"/>
      <c r="L54" s="426"/>
      <c r="M54" s="427"/>
      <c r="N54" s="66"/>
      <c r="O54" s="58"/>
    </row>
    <row r="55" spans="1:15" s="6" customFormat="1" ht="18" hidden="1" customHeight="1">
      <c r="A55" s="30"/>
      <c r="B55" s="46">
        <f>'Customs Invoice'!B55</f>
        <v>0</v>
      </c>
      <c r="C55" s="94" t="e">
        <f>'Customs Invoice'!C55</f>
        <v>#N/A</v>
      </c>
      <c r="D55" s="47" t="e">
        <f>'Customs Invoice'!D55</f>
        <v>#N/A</v>
      </c>
      <c r="E55" s="48" t="e">
        <f>'Customs Invoice'!E55</f>
        <v>#N/A</v>
      </c>
      <c r="F55" s="48"/>
      <c r="G55" s="49">
        <f>'Customs Invoice'!G55</f>
        <v>0</v>
      </c>
      <c r="H55" s="50" t="e">
        <f>'Customs Invoice'!H55</f>
        <v>#N/A</v>
      </c>
      <c r="I55" s="68">
        <f>'Customs Invoice'!I55</f>
        <v>0</v>
      </c>
      <c r="J55" s="95">
        <f>'Customs Invoice'!J55</f>
        <v>0</v>
      </c>
      <c r="K55" s="425"/>
      <c r="L55" s="426"/>
      <c r="M55" s="427"/>
      <c r="N55" s="66"/>
      <c r="O55" s="58"/>
    </row>
    <row r="56" spans="1:15" s="6" customFormat="1" ht="18" hidden="1" customHeight="1">
      <c r="A56" s="30"/>
      <c r="B56" s="46">
        <f>'Customs Invoice'!B56</f>
        <v>0</v>
      </c>
      <c r="C56" s="94" t="e">
        <f>'Customs Invoice'!C56</f>
        <v>#N/A</v>
      </c>
      <c r="D56" s="47" t="e">
        <f>'Customs Invoice'!D56</f>
        <v>#N/A</v>
      </c>
      <c r="E56" s="48" t="e">
        <f>'Customs Invoice'!E56</f>
        <v>#N/A</v>
      </c>
      <c r="F56" s="48"/>
      <c r="G56" s="49">
        <f>'Customs Invoice'!G56</f>
        <v>0</v>
      </c>
      <c r="H56" s="50" t="e">
        <f>'Customs Invoice'!H56</f>
        <v>#N/A</v>
      </c>
      <c r="I56" s="68">
        <f>'Customs Invoice'!I56</f>
        <v>0</v>
      </c>
      <c r="J56" s="95">
        <f>'Customs Invoice'!J56</f>
        <v>0</v>
      </c>
      <c r="K56" s="425"/>
      <c r="L56" s="426"/>
      <c r="M56" s="427"/>
      <c r="N56" s="66"/>
      <c r="O56" s="58"/>
    </row>
    <row r="57" spans="1:15" s="6" customFormat="1" ht="18" hidden="1" customHeight="1">
      <c r="A57" s="30"/>
      <c r="B57" s="46">
        <f>'Customs Invoice'!B57</f>
        <v>0</v>
      </c>
      <c r="C57" s="94" t="e">
        <f>'Customs Invoice'!C57</f>
        <v>#N/A</v>
      </c>
      <c r="D57" s="47" t="e">
        <f>'Customs Invoice'!D57</f>
        <v>#N/A</v>
      </c>
      <c r="E57" s="48" t="e">
        <f>'Customs Invoice'!E57</f>
        <v>#N/A</v>
      </c>
      <c r="F57" s="48"/>
      <c r="G57" s="49">
        <f>'Customs Invoice'!G57</f>
        <v>0</v>
      </c>
      <c r="H57" s="50" t="e">
        <f>'Customs Invoice'!H57</f>
        <v>#N/A</v>
      </c>
      <c r="I57" s="68">
        <f>'Customs Invoice'!I57</f>
        <v>0</v>
      </c>
      <c r="J57" s="95">
        <f>'Customs Invoice'!J57</f>
        <v>0</v>
      </c>
      <c r="K57" s="425"/>
      <c r="L57" s="426"/>
      <c r="M57" s="427"/>
      <c r="N57" s="66"/>
      <c r="O57" s="58"/>
    </row>
    <row r="58" spans="1:15" s="6" customFormat="1" ht="18" hidden="1" customHeight="1">
      <c r="A58" s="30"/>
      <c r="B58" s="46">
        <f>'Customs Invoice'!B58</f>
        <v>0</v>
      </c>
      <c r="C58" s="94" t="e">
        <f>'Customs Invoice'!C58</f>
        <v>#N/A</v>
      </c>
      <c r="D58" s="47" t="e">
        <f>'Customs Invoice'!D58</f>
        <v>#N/A</v>
      </c>
      <c r="E58" s="48" t="e">
        <f>'Customs Invoice'!E58</f>
        <v>#N/A</v>
      </c>
      <c r="F58" s="48"/>
      <c r="G58" s="49">
        <f>'Customs Invoice'!G58</f>
        <v>0</v>
      </c>
      <c r="H58" s="50" t="e">
        <f>'Customs Invoice'!H58</f>
        <v>#N/A</v>
      </c>
      <c r="I58" s="68">
        <f>'Customs Invoice'!I58</f>
        <v>0</v>
      </c>
      <c r="J58" s="95">
        <f>'Customs Invoice'!J58</f>
        <v>0</v>
      </c>
      <c r="K58" s="425"/>
      <c r="L58" s="426"/>
      <c r="M58" s="427"/>
      <c r="N58" s="66"/>
      <c r="O58" s="58"/>
    </row>
    <row r="59" spans="1:15" s="6" customFormat="1" ht="18" hidden="1" customHeight="1">
      <c r="A59" s="30"/>
      <c r="B59" s="46">
        <f>'Customs Invoice'!B59</f>
        <v>0</v>
      </c>
      <c r="C59" s="94" t="e">
        <f>'Customs Invoice'!C59</f>
        <v>#N/A</v>
      </c>
      <c r="D59" s="47" t="e">
        <f>'Customs Invoice'!D59</f>
        <v>#N/A</v>
      </c>
      <c r="E59" s="48" t="e">
        <f>'Customs Invoice'!E59</f>
        <v>#N/A</v>
      </c>
      <c r="F59" s="48"/>
      <c r="G59" s="49">
        <f>'Customs Invoice'!G59</f>
        <v>0</v>
      </c>
      <c r="H59" s="50" t="e">
        <f>'Customs Invoice'!H59</f>
        <v>#N/A</v>
      </c>
      <c r="I59" s="68">
        <f>'Customs Invoice'!I59</f>
        <v>0</v>
      </c>
      <c r="J59" s="95">
        <f>'Customs Invoice'!J59</f>
        <v>0</v>
      </c>
      <c r="K59" s="425"/>
      <c r="L59" s="426"/>
      <c r="M59" s="427"/>
      <c r="N59" s="66"/>
      <c r="O59" s="58"/>
    </row>
    <row r="60" spans="1:15" s="6" customFormat="1" ht="18" hidden="1" customHeight="1">
      <c r="A60" s="30"/>
      <c r="B60" s="46">
        <f>'Customs Invoice'!B60</f>
        <v>0</v>
      </c>
      <c r="C60" s="94" t="e">
        <f>'Customs Invoice'!C60</f>
        <v>#N/A</v>
      </c>
      <c r="D60" s="47" t="e">
        <f>'Customs Invoice'!D60</f>
        <v>#N/A</v>
      </c>
      <c r="E60" s="48" t="e">
        <f>'Customs Invoice'!E60</f>
        <v>#N/A</v>
      </c>
      <c r="F60" s="48"/>
      <c r="G60" s="49">
        <f>'Customs Invoice'!G60</f>
        <v>0</v>
      </c>
      <c r="H60" s="50" t="e">
        <f>'Customs Invoice'!H60</f>
        <v>#N/A</v>
      </c>
      <c r="I60" s="68">
        <f>'Customs Invoice'!I60</f>
        <v>0</v>
      </c>
      <c r="J60" s="95">
        <f>'Customs Invoice'!J60</f>
        <v>0</v>
      </c>
      <c r="K60" s="425"/>
      <c r="L60" s="426"/>
      <c r="M60" s="427"/>
      <c r="N60" s="66"/>
      <c r="O60" s="58"/>
    </row>
    <row r="61" spans="1:15" s="6" customFormat="1" ht="18" hidden="1" customHeight="1">
      <c r="A61" s="30"/>
      <c r="B61" s="46">
        <f>'Customs Invoice'!B61</f>
        <v>0</v>
      </c>
      <c r="C61" s="94" t="e">
        <f>'Customs Invoice'!C61</f>
        <v>#N/A</v>
      </c>
      <c r="D61" s="47" t="e">
        <f>'Customs Invoice'!D61</f>
        <v>#N/A</v>
      </c>
      <c r="E61" s="48" t="e">
        <f>'Customs Invoice'!E61</f>
        <v>#N/A</v>
      </c>
      <c r="F61" s="48"/>
      <c r="G61" s="49">
        <f>'Customs Invoice'!G61</f>
        <v>0</v>
      </c>
      <c r="H61" s="50" t="e">
        <f>'Customs Invoice'!H61</f>
        <v>#N/A</v>
      </c>
      <c r="I61" s="68">
        <f>'Customs Invoice'!I61</f>
        <v>0</v>
      </c>
      <c r="J61" s="95">
        <f>'Customs Invoice'!J61</f>
        <v>0</v>
      </c>
      <c r="K61" s="425"/>
      <c r="L61" s="426"/>
      <c r="M61" s="427"/>
      <c r="N61" s="66"/>
      <c r="O61" s="58"/>
    </row>
    <row r="62" spans="1:15" s="6" customFormat="1" ht="18" hidden="1" customHeight="1">
      <c r="A62" s="30"/>
      <c r="B62" s="46">
        <f>'Customs Invoice'!B62</f>
        <v>0</v>
      </c>
      <c r="C62" s="94" t="e">
        <f>'Customs Invoice'!C62</f>
        <v>#N/A</v>
      </c>
      <c r="D62" s="47" t="e">
        <f>'Customs Invoice'!D62</f>
        <v>#N/A</v>
      </c>
      <c r="E62" s="48" t="e">
        <f>'Customs Invoice'!E62</f>
        <v>#N/A</v>
      </c>
      <c r="F62" s="48"/>
      <c r="G62" s="49">
        <f>'Customs Invoice'!G62</f>
        <v>0</v>
      </c>
      <c r="H62" s="50" t="e">
        <f>'Customs Invoice'!H62</f>
        <v>#N/A</v>
      </c>
      <c r="I62" s="68">
        <f>'Customs Invoice'!I62</f>
        <v>0</v>
      </c>
      <c r="J62" s="95">
        <f>'Customs Invoice'!J62</f>
        <v>0</v>
      </c>
      <c r="K62" s="425"/>
      <c r="L62" s="426"/>
      <c r="M62" s="427"/>
      <c r="N62" s="66"/>
      <c r="O62" s="58"/>
    </row>
    <row r="63" spans="1:15" s="6" customFormat="1" ht="18" hidden="1" customHeight="1">
      <c r="A63" s="30"/>
      <c r="B63" s="46">
        <f>'Customs Invoice'!B63</f>
        <v>0</v>
      </c>
      <c r="C63" s="94" t="e">
        <f>'Customs Invoice'!C63</f>
        <v>#N/A</v>
      </c>
      <c r="D63" s="47" t="e">
        <f>'Customs Invoice'!D63</f>
        <v>#N/A</v>
      </c>
      <c r="E63" s="48" t="e">
        <f>'Customs Invoice'!E63</f>
        <v>#N/A</v>
      </c>
      <c r="F63" s="48"/>
      <c r="G63" s="49">
        <f>'Customs Invoice'!G63</f>
        <v>0</v>
      </c>
      <c r="H63" s="50" t="e">
        <f>'Customs Invoice'!H63</f>
        <v>#N/A</v>
      </c>
      <c r="I63" s="68">
        <f>'Customs Invoice'!I63</f>
        <v>0</v>
      </c>
      <c r="J63" s="95">
        <f>'Customs Invoice'!J63</f>
        <v>0</v>
      </c>
      <c r="K63" s="425"/>
      <c r="L63" s="426"/>
      <c r="M63" s="427"/>
      <c r="N63" s="66"/>
      <c r="O63" s="58"/>
    </row>
    <row r="64" spans="1:15" s="6" customFormat="1" ht="18" hidden="1" customHeight="1">
      <c r="A64" s="30"/>
      <c r="B64" s="46">
        <f>'Customs Invoice'!B64</f>
        <v>0</v>
      </c>
      <c r="C64" s="94" t="e">
        <f>'Customs Invoice'!C64</f>
        <v>#N/A</v>
      </c>
      <c r="D64" s="47" t="e">
        <f>'Customs Invoice'!D64</f>
        <v>#N/A</v>
      </c>
      <c r="E64" s="48" t="e">
        <f>'Customs Invoice'!E64</f>
        <v>#N/A</v>
      </c>
      <c r="F64" s="48"/>
      <c r="G64" s="49">
        <f>'Customs Invoice'!G64</f>
        <v>0</v>
      </c>
      <c r="H64" s="50" t="e">
        <f>'Customs Invoice'!H64</f>
        <v>#N/A</v>
      </c>
      <c r="I64" s="68">
        <f>'Customs Invoice'!I64</f>
        <v>0</v>
      </c>
      <c r="J64" s="95">
        <f>'Customs Invoice'!J64</f>
        <v>0</v>
      </c>
      <c r="K64" s="428"/>
      <c r="L64" s="429"/>
      <c r="M64" s="430"/>
      <c r="N64" s="66"/>
      <c r="O64" s="58"/>
    </row>
    <row r="65" spans="1:15" s="6" customFormat="1" ht="22.5" hidden="1" customHeight="1" thickBot="1">
      <c r="A65" s="30"/>
      <c r="B65" s="51"/>
      <c r="C65" s="99"/>
      <c r="D65" s="52"/>
      <c r="E65" s="53" t="s">
        <v>38</v>
      </c>
      <c r="F65" s="53"/>
      <c r="G65" s="54">
        <f t="shared" ref="G65:J65" si="1">SUM(G45:G64)</f>
        <v>0</v>
      </c>
      <c r="H65" s="55"/>
      <c r="I65" s="71">
        <f t="shared" si="1"/>
        <v>0</v>
      </c>
      <c r="J65" s="72">
        <f t="shared" si="1"/>
        <v>0</v>
      </c>
      <c r="K65" s="431">
        <f>SUM(K45)</f>
        <v>1</v>
      </c>
      <c r="L65" s="431"/>
      <c r="M65" s="432"/>
      <c r="N65" s="66"/>
      <c r="O65" s="58"/>
    </row>
    <row r="66" spans="1:15" s="6" customFormat="1" ht="15" hidden="1" customHeight="1">
      <c r="A66" s="39"/>
      <c r="B66" s="21"/>
      <c r="C66" s="102"/>
      <c r="D66" s="21"/>
      <c r="E66" s="21"/>
      <c r="F66" s="21"/>
      <c r="G66" s="21"/>
      <c r="H66" s="24"/>
      <c r="I66" s="30"/>
      <c r="J66" s="21"/>
      <c r="K66" s="30"/>
      <c r="L66" s="30"/>
      <c r="M66" s="21"/>
      <c r="N66" s="58"/>
      <c r="O66" s="58"/>
    </row>
    <row r="67" spans="1:15" s="6" customFormat="1" ht="15" hidden="1" customHeight="1">
      <c r="A67" s="39"/>
      <c r="B67" s="21"/>
      <c r="C67" s="102"/>
      <c r="D67" s="21"/>
      <c r="E67" s="21"/>
      <c r="F67" s="21"/>
      <c r="G67" s="21"/>
      <c r="H67" s="24"/>
      <c r="I67" s="30"/>
      <c r="J67" s="21"/>
      <c r="K67" s="30"/>
      <c r="L67" s="30"/>
      <c r="M67" s="21"/>
      <c r="N67" s="58"/>
      <c r="O67" s="58"/>
    </row>
    <row r="68" spans="1:15" s="6" customFormat="1" ht="15" hidden="1" customHeight="1">
      <c r="A68" s="39"/>
      <c r="B68" s="21"/>
      <c r="C68" s="102"/>
      <c r="D68" s="21"/>
      <c r="E68" s="21"/>
      <c r="F68" s="21"/>
      <c r="G68" s="21"/>
      <c r="H68" s="24"/>
      <c r="I68" s="30"/>
      <c r="J68" s="21"/>
      <c r="K68" s="30"/>
      <c r="L68" s="30"/>
      <c r="M68" s="21"/>
      <c r="N68" s="58"/>
      <c r="O68" s="58"/>
    </row>
    <row r="69" spans="1:15" s="6" customFormat="1" ht="25.5" hidden="1" customHeight="1" thickBot="1">
      <c r="A69" s="30"/>
      <c r="B69" s="40" t="s">
        <v>41</v>
      </c>
      <c r="C69" s="102"/>
      <c r="D69" s="41"/>
      <c r="E69" s="21"/>
      <c r="F69" s="21"/>
      <c r="G69" s="21"/>
      <c r="H69" s="21"/>
      <c r="I69" s="63"/>
      <c r="J69" s="13"/>
      <c r="K69" s="64"/>
      <c r="L69" s="64"/>
      <c r="M69" s="65"/>
      <c r="N69" s="66"/>
      <c r="O69" s="58"/>
    </row>
    <row r="70" spans="1:15" s="6" customFormat="1" ht="39" hidden="1" customHeight="1">
      <c r="A70" s="42"/>
      <c r="B70" s="43" t="s">
        <v>27</v>
      </c>
      <c r="C70" s="44" t="s">
        <v>28</v>
      </c>
      <c r="D70" s="44" t="s">
        <v>29</v>
      </c>
      <c r="E70" s="45" t="s">
        <v>30</v>
      </c>
      <c r="F70" s="45" t="s">
        <v>31</v>
      </c>
      <c r="G70" s="414" t="s">
        <v>32</v>
      </c>
      <c r="H70" s="414"/>
      <c r="I70" s="45" t="s">
        <v>33</v>
      </c>
      <c r="J70" s="67" t="s">
        <v>34</v>
      </c>
      <c r="K70" s="437" t="s">
        <v>52</v>
      </c>
      <c r="L70" s="438"/>
      <c r="M70" s="439"/>
      <c r="N70" s="66"/>
      <c r="O70" s="58"/>
    </row>
    <row r="71" spans="1:15" s="6" customFormat="1" ht="18" hidden="1" customHeight="1">
      <c r="A71" s="30"/>
      <c r="B71" s="46">
        <f>'Customs Invoice'!B69</f>
        <v>0</v>
      </c>
      <c r="C71" s="94" t="e">
        <f>'Customs Invoice'!C69</f>
        <v>#N/A</v>
      </c>
      <c r="D71" s="47" t="e">
        <f>'Customs Invoice'!D69</f>
        <v>#N/A</v>
      </c>
      <c r="E71" s="48" t="e">
        <f>'Customs Invoice'!E69</f>
        <v>#N/A</v>
      </c>
      <c r="F71" s="48"/>
      <c r="G71" s="49">
        <f>'Customs Invoice'!G69</f>
        <v>0</v>
      </c>
      <c r="H71" s="50" t="e">
        <f>'Customs Invoice'!H69</f>
        <v>#N/A</v>
      </c>
      <c r="I71" s="68">
        <f>'Customs Invoice'!I69</f>
        <v>0</v>
      </c>
      <c r="J71" s="95">
        <f>'Customs Invoice'!J69</f>
        <v>0</v>
      </c>
      <c r="K71" s="425">
        <v>1</v>
      </c>
      <c r="L71" s="426"/>
      <c r="M71" s="427"/>
      <c r="N71" s="66"/>
      <c r="O71" s="58"/>
    </row>
    <row r="72" spans="1:15" s="6" customFormat="1" ht="18" hidden="1" customHeight="1">
      <c r="A72" s="30"/>
      <c r="B72" s="46">
        <f>'Customs Invoice'!B70</f>
        <v>0</v>
      </c>
      <c r="C72" s="94" t="e">
        <f>'Customs Invoice'!C70</f>
        <v>#N/A</v>
      </c>
      <c r="D72" s="47" t="e">
        <f>'Customs Invoice'!D70</f>
        <v>#N/A</v>
      </c>
      <c r="E72" s="48" t="e">
        <f>'Customs Invoice'!E70</f>
        <v>#N/A</v>
      </c>
      <c r="F72" s="48"/>
      <c r="G72" s="49">
        <f>'Customs Invoice'!G70</f>
        <v>0</v>
      </c>
      <c r="H72" s="50" t="e">
        <f>'Customs Invoice'!H70</f>
        <v>#N/A</v>
      </c>
      <c r="I72" s="68">
        <f>'Customs Invoice'!I70</f>
        <v>0</v>
      </c>
      <c r="J72" s="95">
        <f>'Customs Invoice'!J70</f>
        <v>0</v>
      </c>
      <c r="K72" s="425"/>
      <c r="L72" s="426"/>
      <c r="M72" s="427"/>
      <c r="N72" s="66"/>
      <c r="O72" s="58"/>
    </row>
    <row r="73" spans="1:15" s="6" customFormat="1" ht="18" hidden="1" customHeight="1">
      <c r="A73" s="30"/>
      <c r="B73" s="46">
        <f>'Customs Invoice'!B71</f>
        <v>0</v>
      </c>
      <c r="C73" s="94" t="e">
        <f>'Customs Invoice'!C71</f>
        <v>#N/A</v>
      </c>
      <c r="D73" s="47" t="e">
        <f>'Customs Invoice'!D71</f>
        <v>#N/A</v>
      </c>
      <c r="E73" s="48" t="e">
        <f>'Customs Invoice'!E71</f>
        <v>#N/A</v>
      </c>
      <c r="F73" s="48"/>
      <c r="G73" s="49">
        <f>'Customs Invoice'!G71</f>
        <v>0</v>
      </c>
      <c r="H73" s="50" t="e">
        <f>'Customs Invoice'!H71</f>
        <v>#N/A</v>
      </c>
      <c r="I73" s="68">
        <f>'Customs Invoice'!I71</f>
        <v>0</v>
      </c>
      <c r="J73" s="95">
        <f>'Customs Invoice'!J71</f>
        <v>0</v>
      </c>
      <c r="K73" s="425"/>
      <c r="L73" s="426"/>
      <c r="M73" s="427"/>
      <c r="N73" s="66"/>
      <c r="O73" s="58"/>
    </row>
    <row r="74" spans="1:15" s="6" customFormat="1" ht="18" hidden="1" customHeight="1">
      <c r="A74" s="30"/>
      <c r="B74" s="46">
        <f>'Customs Invoice'!B72</f>
        <v>0</v>
      </c>
      <c r="C74" s="94" t="e">
        <f>'Customs Invoice'!C72</f>
        <v>#N/A</v>
      </c>
      <c r="D74" s="47" t="e">
        <f>'Customs Invoice'!D72</f>
        <v>#N/A</v>
      </c>
      <c r="E74" s="48" t="e">
        <f>'Customs Invoice'!E72</f>
        <v>#N/A</v>
      </c>
      <c r="F74" s="48"/>
      <c r="G74" s="49">
        <f>'Customs Invoice'!G72</f>
        <v>0</v>
      </c>
      <c r="H74" s="50" t="e">
        <f>'Customs Invoice'!H72</f>
        <v>#N/A</v>
      </c>
      <c r="I74" s="68">
        <f>'Customs Invoice'!I72</f>
        <v>0</v>
      </c>
      <c r="J74" s="95">
        <f>'Customs Invoice'!J72</f>
        <v>0</v>
      </c>
      <c r="K74" s="425"/>
      <c r="L74" s="426"/>
      <c r="M74" s="427"/>
      <c r="N74" s="66"/>
      <c r="O74" s="58"/>
    </row>
    <row r="75" spans="1:15" s="6" customFormat="1" ht="18" hidden="1" customHeight="1">
      <c r="A75" s="30"/>
      <c r="B75" s="46">
        <f>'Customs Invoice'!B73</f>
        <v>0</v>
      </c>
      <c r="C75" s="94" t="e">
        <f>'Customs Invoice'!C73</f>
        <v>#N/A</v>
      </c>
      <c r="D75" s="47" t="e">
        <f>'Customs Invoice'!D73</f>
        <v>#N/A</v>
      </c>
      <c r="E75" s="48" t="e">
        <f>'Customs Invoice'!E73</f>
        <v>#N/A</v>
      </c>
      <c r="F75" s="48"/>
      <c r="G75" s="49">
        <f>'Customs Invoice'!G73</f>
        <v>0</v>
      </c>
      <c r="H75" s="50" t="e">
        <f>'Customs Invoice'!H73</f>
        <v>#N/A</v>
      </c>
      <c r="I75" s="68">
        <f>'Customs Invoice'!I73</f>
        <v>0</v>
      </c>
      <c r="J75" s="95">
        <f>'Customs Invoice'!J73</f>
        <v>0</v>
      </c>
      <c r="K75" s="425"/>
      <c r="L75" s="426"/>
      <c r="M75" s="427"/>
      <c r="N75" s="66"/>
      <c r="O75" s="58"/>
    </row>
    <row r="76" spans="1:15" s="6" customFormat="1" ht="18" hidden="1" customHeight="1">
      <c r="A76" s="30"/>
      <c r="B76" s="46">
        <f>'Customs Invoice'!B74</f>
        <v>0</v>
      </c>
      <c r="C76" s="94" t="e">
        <f>'Customs Invoice'!C74</f>
        <v>#N/A</v>
      </c>
      <c r="D76" s="47" t="e">
        <f>'Customs Invoice'!D74</f>
        <v>#N/A</v>
      </c>
      <c r="E76" s="48" t="e">
        <f>'Customs Invoice'!E74</f>
        <v>#N/A</v>
      </c>
      <c r="F76" s="48"/>
      <c r="G76" s="49">
        <f>'Customs Invoice'!G74</f>
        <v>0</v>
      </c>
      <c r="H76" s="50" t="e">
        <f>'Customs Invoice'!H74</f>
        <v>#N/A</v>
      </c>
      <c r="I76" s="68">
        <f>'Customs Invoice'!I74</f>
        <v>0</v>
      </c>
      <c r="J76" s="95">
        <f>'Customs Invoice'!J74</f>
        <v>0</v>
      </c>
      <c r="K76" s="425"/>
      <c r="L76" s="426"/>
      <c r="M76" s="427"/>
      <c r="N76" s="66"/>
      <c r="O76" s="58"/>
    </row>
    <row r="77" spans="1:15" s="6" customFormat="1" ht="18" hidden="1" customHeight="1">
      <c r="A77" s="30"/>
      <c r="B77" s="46">
        <f>'Customs Invoice'!B75</f>
        <v>0</v>
      </c>
      <c r="C77" s="94" t="e">
        <f>'Customs Invoice'!C75</f>
        <v>#N/A</v>
      </c>
      <c r="D77" s="47" t="e">
        <f>'Customs Invoice'!D75</f>
        <v>#N/A</v>
      </c>
      <c r="E77" s="48" t="e">
        <f>'Customs Invoice'!E75</f>
        <v>#N/A</v>
      </c>
      <c r="F77" s="48"/>
      <c r="G77" s="49">
        <f>'Customs Invoice'!G75</f>
        <v>0</v>
      </c>
      <c r="H77" s="50" t="e">
        <f>'Customs Invoice'!H75</f>
        <v>#N/A</v>
      </c>
      <c r="I77" s="68">
        <f>'Customs Invoice'!I75</f>
        <v>0</v>
      </c>
      <c r="J77" s="95">
        <f>'Customs Invoice'!J75</f>
        <v>0</v>
      </c>
      <c r="K77" s="425"/>
      <c r="L77" s="426"/>
      <c r="M77" s="427"/>
      <c r="N77" s="66"/>
      <c r="O77" s="58"/>
    </row>
    <row r="78" spans="1:15" s="6" customFormat="1" ht="18" hidden="1" customHeight="1">
      <c r="A78" s="30"/>
      <c r="B78" s="46">
        <f>'Customs Invoice'!B76</f>
        <v>0</v>
      </c>
      <c r="C78" s="94" t="e">
        <f>'Customs Invoice'!C76</f>
        <v>#N/A</v>
      </c>
      <c r="D78" s="47" t="e">
        <f>'Customs Invoice'!D76</f>
        <v>#N/A</v>
      </c>
      <c r="E78" s="48" t="e">
        <f>'Customs Invoice'!E76</f>
        <v>#N/A</v>
      </c>
      <c r="F78" s="48"/>
      <c r="G78" s="49">
        <f>'Customs Invoice'!G76</f>
        <v>0</v>
      </c>
      <c r="H78" s="50" t="e">
        <f>'Customs Invoice'!H76</f>
        <v>#N/A</v>
      </c>
      <c r="I78" s="68">
        <f>'Customs Invoice'!I76</f>
        <v>0</v>
      </c>
      <c r="J78" s="95">
        <f>'Customs Invoice'!J76</f>
        <v>0</v>
      </c>
      <c r="K78" s="425"/>
      <c r="L78" s="426"/>
      <c r="M78" s="427"/>
      <c r="N78" s="66"/>
      <c r="O78" s="58"/>
    </row>
    <row r="79" spans="1:15" s="6" customFormat="1" ht="18" hidden="1" customHeight="1">
      <c r="A79" s="30"/>
      <c r="B79" s="46">
        <f>'Customs Invoice'!B77</f>
        <v>0</v>
      </c>
      <c r="C79" s="94" t="e">
        <f>'Customs Invoice'!C77</f>
        <v>#N/A</v>
      </c>
      <c r="D79" s="47" t="e">
        <f>'Customs Invoice'!D77</f>
        <v>#N/A</v>
      </c>
      <c r="E79" s="48" t="e">
        <f>'Customs Invoice'!E77</f>
        <v>#N/A</v>
      </c>
      <c r="F79" s="48"/>
      <c r="G79" s="49">
        <f>'Customs Invoice'!G77</f>
        <v>0</v>
      </c>
      <c r="H79" s="50" t="e">
        <f>'Customs Invoice'!H77</f>
        <v>#N/A</v>
      </c>
      <c r="I79" s="68">
        <f>'Customs Invoice'!I77</f>
        <v>0</v>
      </c>
      <c r="J79" s="95">
        <f>'Customs Invoice'!J77</f>
        <v>0</v>
      </c>
      <c r="K79" s="425"/>
      <c r="L79" s="426"/>
      <c r="M79" s="427"/>
      <c r="N79" s="66"/>
      <c r="O79" s="58"/>
    </row>
    <row r="80" spans="1:15" s="6" customFormat="1" ht="18" hidden="1" customHeight="1">
      <c r="A80" s="30"/>
      <c r="B80" s="46">
        <f>'Customs Invoice'!B78</f>
        <v>0</v>
      </c>
      <c r="C80" s="94" t="e">
        <f>'Customs Invoice'!C78</f>
        <v>#N/A</v>
      </c>
      <c r="D80" s="47" t="e">
        <f>'Customs Invoice'!D78</f>
        <v>#N/A</v>
      </c>
      <c r="E80" s="48" t="e">
        <f>'Customs Invoice'!E78</f>
        <v>#N/A</v>
      </c>
      <c r="F80" s="48"/>
      <c r="G80" s="49">
        <f>'Customs Invoice'!G78</f>
        <v>0</v>
      </c>
      <c r="H80" s="50" t="e">
        <f>'Customs Invoice'!H78</f>
        <v>#N/A</v>
      </c>
      <c r="I80" s="68">
        <f>'Customs Invoice'!I78</f>
        <v>0</v>
      </c>
      <c r="J80" s="95">
        <f>'Customs Invoice'!J78</f>
        <v>0</v>
      </c>
      <c r="K80" s="425"/>
      <c r="L80" s="426"/>
      <c r="M80" s="427"/>
      <c r="N80" s="66"/>
      <c r="O80" s="58"/>
    </row>
    <row r="81" spans="1:15" s="6" customFormat="1" ht="18" hidden="1" customHeight="1">
      <c r="A81" s="30"/>
      <c r="B81" s="46">
        <f>'Customs Invoice'!B79</f>
        <v>0</v>
      </c>
      <c r="C81" s="94" t="e">
        <f>'Customs Invoice'!C79</f>
        <v>#N/A</v>
      </c>
      <c r="D81" s="47" t="e">
        <f>'Customs Invoice'!D79</f>
        <v>#N/A</v>
      </c>
      <c r="E81" s="48" t="e">
        <f>'Customs Invoice'!E79</f>
        <v>#N/A</v>
      </c>
      <c r="F81" s="48"/>
      <c r="G81" s="49">
        <f>'Customs Invoice'!G79</f>
        <v>0</v>
      </c>
      <c r="H81" s="50" t="e">
        <f>'Customs Invoice'!H79</f>
        <v>#N/A</v>
      </c>
      <c r="I81" s="68">
        <f>'Customs Invoice'!I79</f>
        <v>0</v>
      </c>
      <c r="J81" s="95">
        <f>'Customs Invoice'!J79</f>
        <v>0</v>
      </c>
      <c r="K81" s="425"/>
      <c r="L81" s="426"/>
      <c r="M81" s="427"/>
      <c r="N81" s="66"/>
      <c r="O81" s="58"/>
    </row>
    <row r="82" spans="1:15" s="6" customFormat="1" ht="18" hidden="1" customHeight="1">
      <c r="A82" s="30"/>
      <c r="B82" s="46">
        <f>'Customs Invoice'!B80</f>
        <v>0</v>
      </c>
      <c r="C82" s="94" t="e">
        <f>'Customs Invoice'!C80</f>
        <v>#N/A</v>
      </c>
      <c r="D82" s="47" t="e">
        <f>'Customs Invoice'!D80</f>
        <v>#N/A</v>
      </c>
      <c r="E82" s="48" t="e">
        <f>'Customs Invoice'!E80</f>
        <v>#N/A</v>
      </c>
      <c r="F82" s="48"/>
      <c r="G82" s="49">
        <f>'Customs Invoice'!G80</f>
        <v>0</v>
      </c>
      <c r="H82" s="50" t="e">
        <f>'Customs Invoice'!H80</f>
        <v>#N/A</v>
      </c>
      <c r="I82" s="68">
        <f>'Customs Invoice'!I80</f>
        <v>0</v>
      </c>
      <c r="J82" s="95">
        <f>'Customs Invoice'!J80</f>
        <v>0</v>
      </c>
      <c r="K82" s="425"/>
      <c r="L82" s="426"/>
      <c r="M82" s="427"/>
      <c r="N82" s="66"/>
      <c r="O82" s="58"/>
    </row>
    <row r="83" spans="1:15" s="6" customFormat="1" ht="18" hidden="1" customHeight="1">
      <c r="A83" s="30"/>
      <c r="B83" s="46">
        <f>'Customs Invoice'!B81</f>
        <v>0</v>
      </c>
      <c r="C83" s="94" t="e">
        <f>'Customs Invoice'!C81</f>
        <v>#N/A</v>
      </c>
      <c r="D83" s="47" t="e">
        <f>'Customs Invoice'!D81</f>
        <v>#N/A</v>
      </c>
      <c r="E83" s="48" t="e">
        <f>'Customs Invoice'!E81</f>
        <v>#N/A</v>
      </c>
      <c r="F83" s="48"/>
      <c r="G83" s="49">
        <f>'Customs Invoice'!G81</f>
        <v>0</v>
      </c>
      <c r="H83" s="50" t="e">
        <f>'Customs Invoice'!H81</f>
        <v>#N/A</v>
      </c>
      <c r="I83" s="68">
        <f>'Customs Invoice'!I81</f>
        <v>0</v>
      </c>
      <c r="J83" s="95">
        <f>'Customs Invoice'!J81</f>
        <v>0</v>
      </c>
      <c r="K83" s="425"/>
      <c r="L83" s="426"/>
      <c r="M83" s="427"/>
      <c r="N83" s="66"/>
      <c r="O83" s="58"/>
    </row>
    <row r="84" spans="1:15" s="6" customFormat="1" ht="18" hidden="1" customHeight="1">
      <c r="A84" s="30"/>
      <c r="B84" s="46">
        <f>'Customs Invoice'!B82</f>
        <v>0</v>
      </c>
      <c r="C84" s="94" t="e">
        <f>'Customs Invoice'!C82</f>
        <v>#N/A</v>
      </c>
      <c r="D84" s="47" t="e">
        <f>'Customs Invoice'!D82</f>
        <v>#N/A</v>
      </c>
      <c r="E84" s="48" t="e">
        <f>'Customs Invoice'!E82</f>
        <v>#N/A</v>
      </c>
      <c r="F84" s="48"/>
      <c r="G84" s="49">
        <f>'Customs Invoice'!G82</f>
        <v>0</v>
      </c>
      <c r="H84" s="50" t="e">
        <f>'Customs Invoice'!H82</f>
        <v>#N/A</v>
      </c>
      <c r="I84" s="68">
        <f>'Customs Invoice'!I82</f>
        <v>0</v>
      </c>
      <c r="J84" s="95">
        <f>'Customs Invoice'!J82</f>
        <v>0</v>
      </c>
      <c r="K84" s="425"/>
      <c r="L84" s="426"/>
      <c r="M84" s="427"/>
      <c r="N84" s="66"/>
      <c r="O84" s="58"/>
    </row>
    <row r="85" spans="1:15" s="6" customFormat="1" ht="18" hidden="1" customHeight="1">
      <c r="A85" s="30"/>
      <c r="B85" s="46">
        <f>'Customs Invoice'!B83</f>
        <v>0</v>
      </c>
      <c r="C85" s="94" t="e">
        <f>'Customs Invoice'!C83</f>
        <v>#N/A</v>
      </c>
      <c r="D85" s="47" t="e">
        <f>'Customs Invoice'!D83</f>
        <v>#N/A</v>
      </c>
      <c r="E85" s="48" t="e">
        <f>'Customs Invoice'!E83</f>
        <v>#N/A</v>
      </c>
      <c r="F85" s="48"/>
      <c r="G85" s="49">
        <f>'Customs Invoice'!G83</f>
        <v>0</v>
      </c>
      <c r="H85" s="50" t="e">
        <f>'Customs Invoice'!H83</f>
        <v>#N/A</v>
      </c>
      <c r="I85" s="68">
        <f>'Customs Invoice'!I83</f>
        <v>0</v>
      </c>
      <c r="J85" s="95">
        <f>'Customs Invoice'!J83</f>
        <v>0</v>
      </c>
      <c r="K85" s="425"/>
      <c r="L85" s="426"/>
      <c r="M85" s="427"/>
      <c r="N85" s="66"/>
      <c r="O85" s="58"/>
    </row>
    <row r="86" spans="1:15" s="6" customFormat="1" ht="18" hidden="1" customHeight="1">
      <c r="A86" s="30"/>
      <c r="B86" s="46">
        <f>'Customs Invoice'!B84</f>
        <v>0</v>
      </c>
      <c r="C86" s="94" t="e">
        <f>'Customs Invoice'!C84</f>
        <v>#N/A</v>
      </c>
      <c r="D86" s="47" t="e">
        <f>'Customs Invoice'!D84</f>
        <v>#N/A</v>
      </c>
      <c r="E86" s="48" t="e">
        <f>'Customs Invoice'!E84</f>
        <v>#N/A</v>
      </c>
      <c r="F86" s="48"/>
      <c r="G86" s="49">
        <f>'Customs Invoice'!G84</f>
        <v>0</v>
      </c>
      <c r="H86" s="50" t="e">
        <f>'Customs Invoice'!H84</f>
        <v>#N/A</v>
      </c>
      <c r="I86" s="68">
        <f>'Customs Invoice'!I84</f>
        <v>0</v>
      </c>
      <c r="J86" s="95">
        <f>'Customs Invoice'!J84</f>
        <v>0</v>
      </c>
      <c r="K86" s="425"/>
      <c r="L86" s="426"/>
      <c r="M86" s="427"/>
      <c r="N86" s="66"/>
      <c r="O86" s="58"/>
    </row>
    <row r="87" spans="1:15" s="6" customFormat="1" ht="18" hidden="1" customHeight="1">
      <c r="A87" s="30"/>
      <c r="B87" s="46">
        <f>'Customs Invoice'!B85</f>
        <v>0</v>
      </c>
      <c r="C87" s="94" t="e">
        <f>'Customs Invoice'!C85</f>
        <v>#N/A</v>
      </c>
      <c r="D87" s="47" t="e">
        <f>'Customs Invoice'!D85</f>
        <v>#N/A</v>
      </c>
      <c r="E87" s="48" t="e">
        <f>'Customs Invoice'!E85</f>
        <v>#N/A</v>
      </c>
      <c r="F87" s="48"/>
      <c r="G87" s="49">
        <f>'Customs Invoice'!G85</f>
        <v>0</v>
      </c>
      <c r="H87" s="50" t="e">
        <f>'Customs Invoice'!H85</f>
        <v>#N/A</v>
      </c>
      <c r="I87" s="68">
        <f>'Customs Invoice'!I85</f>
        <v>0</v>
      </c>
      <c r="J87" s="95">
        <f>'Customs Invoice'!J85</f>
        <v>0</v>
      </c>
      <c r="K87" s="425"/>
      <c r="L87" s="426"/>
      <c r="M87" s="427"/>
      <c r="N87" s="66"/>
      <c r="O87" s="58"/>
    </row>
    <row r="88" spans="1:15" s="6" customFormat="1" ht="18" hidden="1" customHeight="1">
      <c r="A88" s="30"/>
      <c r="B88" s="46">
        <f>'Customs Invoice'!B86</f>
        <v>0</v>
      </c>
      <c r="C88" s="94" t="e">
        <f>'Customs Invoice'!C86</f>
        <v>#N/A</v>
      </c>
      <c r="D88" s="47" t="e">
        <f>'Customs Invoice'!D86</f>
        <v>#N/A</v>
      </c>
      <c r="E88" s="48" t="e">
        <f>'Customs Invoice'!E86</f>
        <v>#N/A</v>
      </c>
      <c r="F88" s="48"/>
      <c r="G88" s="49">
        <f>'Customs Invoice'!G86</f>
        <v>0</v>
      </c>
      <c r="H88" s="50" t="e">
        <f>'Customs Invoice'!H86</f>
        <v>#N/A</v>
      </c>
      <c r="I88" s="68">
        <f>'Customs Invoice'!I86</f>
        <v>0</v>
      </c>
      <c r="J88" s="95">
        <f>'Customs Invoice'!J86</f>
        <v>0</v>
      </c>
      <c r="K88" s="425"/>
      <c r="L88" s="426"/>
      <c r="M88" s="427"/>
      <c r="N88" s="66"/>
      <c r="O88" s="58"/>
    </row>
    <row r="89" spans="1:15" s="6" customFormat="1" ht="18" hidden="1" customHeight="1">
      <c r="A89" s="30"/>
      <c r="B89" s="46">
        <f>'Customs Invoice'!B87</f>
        <v>0</v>
      </c>
      <c r="C89" s="94" t="e">
        <f>'Customs Invoice'!C87</f>
        <v>#N/A</v>
      </c>
      <c r="D89" s="47" t="e">
        <f>'Customs Invoice'!D87</f>
        <v>#N/A</v>
      </c>
      <c r="E89" s="48" t="e">
        <f>'Customs Invoice'!E87</f>
        <v>#N/A</v>
      </c>
      <c r="F89" s="48"/>
      <c r="G89" s="49">
        <f>'Customs Invoice'!G87</f>
        <v>0</v>
      </c>
      <c r="H89" s="50" t="e">
        <f>'Customs Invoice'!H87</f>
        <v>#N/A</v>
      </c>
      <c r="I89" s="68">
        <f>'Customs Invoice'!I87</f>
        <v>0</v>
      </c>
      <c r="J89" s="95">
        <f>'Customs Invoice'!J87</f>
        <v>0</v>
      </c>
      <c r="K89" s="425"/>
      <c r="L89" s="426"/>
      <c r="M89" s="427"/>
      <c r="N89" s="66"/>
      <c r="O89" s="58"/>
    </row>
    <row r="90" spans="1:15" s="6" customFormat="1" ht="18" hidden="1" customHeight="1">
      <c r="A90" s="30"/>
      <c r="B90" s="46">
        <f>'Customs Invoice'!B88</f>
        <v>0</v>
      </c>
      <c r="C90" s="94" t="e">
        <f>'Customs Invoice'!C88</f>
        <v>#N/A</v>
      </c>
      <c r="D90" s="47" t="e">
        <f>'Customs Invoice'!D88</f>
        <v>#N/A</v>
      </c>
      <c r="E90" s="48" t="e">
        <f>'Customs Invoice'!E88</f>
        <v>#N/A</v>
      </c>
      <c r="F90" s="48"/>
      <c r="G90" s="49">
        <f>'Customs Invoice'!G88</f>
        <v>0</v>
      </c>
      <c r="H90" s="50" t="e">
        <f>'Customs Invoice'!H88</f>
        <v>#N/A</v>
      </c>
      <c r="I90" s="68">
        <f>'Customs Invoice'!I88</f>
        <v>0</v>
      </c>
      <c r="J90" s="95">
        <f>'Customs Invoice'!J88</f>
        <v>0</v>
      </c>
      <c r="K90" s="428"/>
      <c r="L90" s="429"/>
      <c r="M90" s="430"/>
      <c r="N90" s="66"/>
      <c r="O90" s="58"/>
    </row>
    <row r="91" spans="1:15" s="6" customFormat="1" ht="22.5" hidden="1" customHeight="1" thickBot="1">
      <c r="A91" s="30"/>
      <c r="B91" s="46"/>
      <c r="C91" s="99"/>
      <c r="D91" s="52"/>
      <c r="E91" s="53" t="s">
        <v>38</v>
      </c>
      <c r="F91" s="53"/>
      <c r="G91" s="54">
        <f t="shared" ref="G91:J91" si="2">SUM(G71:G90)</f>
        <v>0</v>
      </c>
      <c r="H91" s="55"/>
      <c r="I91" s="71">
        <f t="shared" si="2"/>
        <v>0</v>
      </c>
      <c r="J91" s="72">
        <f t="shared" si="2"/>
        <v>0</v>
      </c>
      <c r="K91" s="431">
        <f>SUM(K71)</f>
        <v>1</v>
      </c>
      <c r="L91" s="431"/>
      <c r="M91" s="432"/>
      <c r="N91" s="66"/>
      <c r="O91" s="58"/>
    </row>
    <row r="92" spans="1:15" s="6" customFormat="1" ht="15" hidden="1" customHeight="1">
      <c r="A92" s="39"/>
      <c r="B92" s="21"/>
      <c r="C92" s="102"/>
      <c r="D92" s="21"/>
      <c r="E92" s="21"/>
      <c r="F92" s="21"/>
      <c r="G92" s="21"/>
      <c r="H92" s="24"/>
      <c r="I92" s="30"/>
      <c r="J92" s="21"/>
      <c r="K92" s="30"/>
      <c r="L92" s="30"/>
      <c r="M92" s="21"/>
      <c r="N92" s="58"/>
      <c r="O92" s="58"/>
    </row>
    <row r="93" spans="1:15" s="6" customFormat="1" ht="25.5" hidden="1" customHeight="1" thickBot="1">
      <c r="A93" s="30"/>
      <c r="B93" s="40" t="s">
        <v>42</v>
      </c>
      <c r="C93" s="102"/>
      <c r="D93" s="41"/>
      <c r="E93" s="21"/>
      <c r="F93" s="21"/>
      <c r="G93" s="21"/>
      <c r="H93" s="21"/>
      <c r="I93" s="63"/>
      <c r="J93" s="13"/>
      <c r="K93" s="64"/>
      <c r="L93" s="64"/>
      <c r="M93" s="65"/>
      <c r="N93" s="66"/>
      <c r="O93" s="58"/>
    </row>
    <row r="94" spans="1:15" s="6" customFormat="1" ht="39" hidden="1" customHeight="1">
      <c r="A94" s="42"/>
      <c r="B94" s="43" t="s">
        <v>27</v>
      </c>
      <c r="C94" s="44" t="s">
        <v>28</v>
      </c>
      <c r="D94" s="44" t="s">
        <v>29</v>
      </c>
      <c r="E94" s="45" t="s">
        <v>30</v>
      </c>
      <c r="F94" s="45" t="s">
        <v>31</v>
      </c>
      <c r="G94" s="414" t="s">
        <v>32</v>
      </c>
      <c r="H94" s="414"/>
      <c r="I94" s="45" t="s">
        <v>33</v>
      </c>
      <c r="J94" s="67" t="s">
        <v>34</v>
      </c>
      <c r="K94" s="437" t="s">
        <v>52</v>
      </c>
      <c r="L94" s="438"/>
      <c r="M94" s="439"/>
      <c r="N94" s="66"/>
      <c r="O94" s="58"/>
    </row>
    <row r="95" spans="1:15" s="6" customFormat="1" ht="18" hidden="1" customHeight="1">
      <c r="A95" s="30"/>
      <c r="B95" s="46">
        <f>'Customs Invoice'!B93</f>
        <v>0</v>
      </c>
      <c r="C95" s="94" t="e">
        <f>'Customs Invoice'!C93</f>
        <v>#N/A</v>
      </c>
      <c r="D95" s="47" t="e">
        <f>'Customs Invoice'!D93</f>
        <v>#N/A</v>
      </c>
      <c r="E95" s="48" t="e">
        <f>'Customs Invoice'!E93</f>
        <v>#N/A</v>
      </c>
      <c r="F95" s="48"/>
      <c r="G95" s="49">
        <f>'Customs Invoice'!G93</f>
        <v>0</v>
      </c>
      <c r="H95" s="50" t="e">
        <f>'Customs Invoice'!H93</f>
        <v>#N/A</v>
      </c>
      <c r="I95" s="68">
        <f>'Customs Invoice'!I93</f>
        <v>0</v>
      </c>
      <c r="J95" s="95">
        <f>'Customs Invoice'!J93</f>
        <v>0</v>
      </c>
      <c r="K95" s="425">
        <v>1</v>
      </c>
      <c r="L95" s="426"/>
      <c r="M95" s="427"/>
      <c r="N95" s="66"/>
      <c r="O95" s="58"/>
    </row>
    <row r="96" spans="1:15" s="6" customFormat="1" ht="18" hidden="1" customHeight="1">
      <c r="A96" s="30"/>
      <c r="B96" s="46">
        <f>'Customs Invoice'!B94</f>
        <v>0</v>
      </c>
      <c r="C96" s="94" t="e">
        <f>'Customs Invoice'!C94</f>
        <v>#N/A</v>
      </c>
      <c r="D96" s="47" t="e">
        <f>'Customs Invoice'!D94</f>
        <v>#N/A</v>
      </c>
      <c r="E96" s="48" t="e">
        <f>'Customs Invoice'!E94</f>
        <v>#N/A</v>
      </c>
      <c r="F96" s="48"/>
      <c r="G96" s="49">
        <f>'Customs Invoice'!G94</f>
        <v>0</v>
      </c>
      <c r="H96" s="50" t="e">
        <f>'Customs Invoice'!H94</f>
        <v>#N/A</v>
      </c>
      <c r="I96" s="68">
        <f>'Customs Invoice'!I94</f>
        <v>0</v>
      </c>
      <c r="J96" s="95">
        <f>'Customs Invoice'!J94</f>
        <v>0</v>
      </c>
      <c r="K96" s="425"/>
      <c r="L96" s="426"/>
      <c r="M96" s="427"/>
      <c r="N96" s="66"/>
      <c r="O96" s="58"/>
    </row>
    <row r="97" spans="1:15" s="6" customFormat="1" ht="18" hidden="1" customHeight="1">
      <c r="A97" s="30"/>
      <c r="B97" s="46">
        <f>'Customs Invoice'!B95</f>
        <v>0</v>
      </c>
      <c r="C97" s="94" t="e">
        <f>'Customs Invoice'!C95</f>
        <v>#N/A</v>
      </c>
      <c r="D97" s="47" t="e">
        <f>'Customs Invoice'!D95</f>
        <v>#N/A</v>
      </c>
      <c r="E97" s="48" t="e">
        <f>'Customs Invoice'!E95</f>
        <v>#N/A</v>
      </c>
      <c r="F97" s="48"/>
      <c r="G97" s="49">
        <f>'Customs Invoice'!G95</f>
        <v>0</v>
      </c>
      <c r="H97" s="50" t="e">
        <f>'Customs Invoice'!H95</f>
        <v>#N/A</v>
      </c>
      <c r="I97" s="68">
        <f>'Customs Invoice'!I95</f>
        <v>0</v>
      </c>
      <c r="J97" s="95">
        <f>'Customs Invoice'!J95</f>
        <v>0</v>
      </c>
      <c r="K97" s="425"/>
      <c r="L97" s="426"/>
      <c r="M97" s="427"/>
      <c r="N97" s="66"/>
      <c r="O97" s="58"/>
    </row>
    <row r="98" spans="1:15" s="6" customFormat="1" ht="18" hidden="1" customHeight="1">
      <c r="A98" s="30"/>
      <c r="B98" s="46">
        <f>'Customs Invoice'!B96</f>
        <v>0</v>
      </c>
      <c r="C98" s="94" t="e">
        <f>'Customs Invoice'!C96</f>
        <v>#N/A</v>
      </c>
      <c r="D98" s="47" t="e">
        <f>'Customs Invoice'!D96</f>
        <v>#N/A</v>
      </c>
      <c r="E98" s="48" t="e">
        <f>'Customs Invoice'!E96</f>
        <v>#N/A</v>
      </c>
      <c r="F98" s="48"/>
      <c r="G98" s="49">
        <f>'Customs Invoice'!G96</f>
        <v>0</v>
      </c>
      <c r="H98" s="50" t="e">
        <f>'Customs Invoice'!H96</f>
        <v>#N/A</v>
      </c>
      <c r="I98" s="68">
        <f>'Customs Invoice'!I96</f>
        <v>0</v>
      </c>
      <c r="J98" s="95">
        <f>'Customs Invoice'!J96</f>
        <v>0</v>
      </c>
      <c r="K98" s="425"/>
      <c r="L98" s="426"/>
      <c r="M98" s="427"/>
      <c r="N98" s="66"/>
      <c r="O98" s="58"/>
    </row>
    <row r="99" spans="1:15" s="6" customFormat="1" ht="18" hidden="1" customHeight="1">
      <c r="A99" s="30"/>
      <c r="B99" s="46">
        <f>'Customs Invoice'!B97</f>
        <v>0</v>
      </c>
      <c r="C99" s="94" t="e">
        <f>'Customs Invoice'!C97</f>
        <v>#N/A</v>
      </c>
      <c r="D99" s="47" t="e">
        <f>'Customs Invoice'!D97</f>
        <v>#N/A</v>
      </c>
      <c r="E99" s="48" t="e">
        <f>'Customs Invoice'!E97</f>
        <v>#N/A</v>
      </c>
      <c r="F99" s="48"/>
      <c r="G99" s="49">
        <f>'Customs Invoice'!G97</f>
        <v>0</v>
      </c>
      <c r="H99" s="50" t="e">
        <f>'Customs Invoice'!H97</f>
        <v>#N/A</v>
      </c>
      <c r="I99" s="68">
        <f>'Customs Invoice'!I97</f>
        <v>0</v>
      </c>
      <c r="J99" s="95">
        <f>'Customs Invoice'!J97</f>
        <v>0</v>
      </c>
      <c r="K99" s="425"/>
      <c r="L99" s="426"/>
      <c r="M99" s="427"/>
      <c r="N99" s="66"/>
      <c r="O99" s="58"/>
    </row>
    <row r="100" spans="1:15" s="6" customFormat="1" ht="18" hidden="1" customHeight="1">
      <c r="A100" s="30"/>
      <c r="B100" s="46">
        <f>'Customs Invoice'!B98</f>
        <v>0</v>
      </c>
      <c r="C100" s="94" t="e">
        <f>'Customs Invoice'!C98</f>
        <v>#N/A</v>
      </c>
      <c r="D100" s="47" t="e">
        <f>'Customs Invoice'!D98</f>
        <v>#N/A</v>
      </c>
      <c r="E100" s="48" t="e">
        <f>'Customs Invoice'!E98</f>
        <v>#N/A</v>
      </c>
      <c r="F100" s="48"/>
      <c r="G100" s="49">
        <f>'Customs Invoice'!G98</f>
        <v>0</v>
      </c>
      <c r="H100" s="50" t="e">
        <f>'Customs Invoice'!H98</f>
        <v>#N/A</v>
      </c>
      <c r="I100" s="68">
        <f>'Customs Invoice'!I98</f>
        <v>0</v>
      </c>
      <c r="J100" s="95">
        <f>'Customs Invoice'!J98</f>
        <v>0</v>
      </c>
      <c r="K100" s="425"/>
      <c r="L100" s="426"/>
      <c r="M100" s="427"/>
      <c r="N100" s="66"/>
      <c r="O100" s="58"/>
    </row>
    <row r="101" spans="1:15" s="6" customFormat="1" ht="18" hidden="1" customHeight="1">
      <c r="A101" s="30"/>
      <c r="B101" s="46">
        <f>'Customs Invoice'!B99</f>
        <v>0</v>
      </c>
      <c r="C101" s="94" t="e">
        <f>'Customs Invoice'!C99</f>
        <v>#N/A</v>
      </c>
      <c r="D101" s="47" t="e">
        <f>'Customs Invoice'!D99</f>
        <v>#N/A</v>
      </c>
      <c r="E101" s="48" t="e">
        <f>'Customs Invoice'!E99</f>
        <v>#N/A</v>
      </c>
      <c r="F101" s="48"/>
      <c r="G101" s="49">
        <f>'Customs Invoice'!G99</f>
        <v>0</v>
      </c>
      <c r="H101" s="50" t="e">
        <f>'Customs Invoice'!H99</f>
        <v>#N/A</v>
      </c>
      <c r="I101" s="68">
        <f>'Customs Invoice'!I99</f>
        <v>0</v>
      </c>
      <c r="J101" s="95">
        <f>'Customs Invoice'!J99</f>
        <v>0</v>
      </c>
      <c r="K101" s="425"/>
      <c r="L101" s="426"/>
      <c r="M101" s="427"/>
      <c r="N101" s="66"/>
      <c r="O101" s="58"/>
    </row>
    <row r="102" spans="1:15" s="6" customFormat="1" ht="18" hidden="1" customHeight="1">
      <c r="A102" s="30"/>
      <c r="B102" s="46">
        <f>'Customs Invoice'!B100</f>
        <v>0</v>
      </c>
      <c r="C102" s="94" t="e">
        <f>'Customs Invoice'!C100</f>
        <v>#N/A</v>
      </c>
      <c r="D102" s="47" t="e">
        <f>'Customs Invoice'!D100</f>
        <v>#N/A</v>
      </c>
      <c r="E102" s="48" t="e">
        <f>'Customs Invoice'!E100</f>
        <v>#N/A</v>
      </c>
      <c r="F102" s="48"/>
      <c r="G102" s="49">
        <f>'Customs Invoice'!G100</f>
        <v>0</v>
      </c>
      <c r="H102" s="50" t="e">
        <f>'Customs Invoice'!H100</f>
        <v>#N/A</v>
      </c>
      <c r="I102" s="68">
        <f>'Customs Invoice'!I100</f>
        <v>0</v>
      </c>
      <c r="J102" s="95">
        <f>'Customs Invoice'!J100</f>
        <v>0</v>
      </c>
      <c r="K102" s="425"/>
      <c r="L102" s="426"/>
      <c r="M102" s="427"/>
      <c r="N102" s="66"/>
      <c r="O102" s="58"/>
    </row>
    <row r="103" spans="1:15" s="6" customFormat="1" ht="18" hidden="1" customHeight="1">
      <c r="A103" s="30"/>
      <c r="B103" s="46">
        <f>'Customs Invoice'!B101</f>
        <v>0</v>
      </c>
      <c r="C103" s="94" t="e">
        <f>'Customs Invoice'!C101</f>
        <v>#N/A</v>
      </c>
      <c r="D103" s="47" t="e">
        <f>'Customs Invoice'!D101</f>
        <v>#N/A</v>
      </c>
      <c r="E103" s="48" t="e">
        <f>'Customs Invoice'!E101</f>
        <v>#N/A</v>
      </c>
      <c r="F103" s="48"/>
      <c r="G103" s="49">
        <f>'Customs Invoice'!G101</f>
        <v>0</v>
      </c>
      <c r="H103" s="50" t="e">
        <f>'Customs Invoice'!H101</f>
        <v>#N/A</v>
      </c>
      <c r="I103" s="68">
        <f>'Customs Invoice'!I101</f>
        <v>0</v>
      </c>
      <c r="J103" s="95">
        <f>'Customs Invoice'!J101</f>
        <v>0</v>
      </c>
      <c r="K103" s="425"/>
      <c r="L103" s="426"/>
      <c r="M103" s="427"/>
      <c r="N103" s="66"/>
      <c r="O103" s="58"/>
    </row>
    <row r="104" spans="1:15" s="6" customFormat="1" ht="18" hidden="1" customHeight="1">
      <c r="A104" s="30"/>
      <c r="B104" s="46">
        <f>'Customs Invoice'!B102</f>
        <v>0</v>
      </c>
      <c r="C104" s="94" t="e">
        <f>'Customs Invoice'!C102</f>
        <v>#N/A</v>
      </c>
      <c r="D104" s="47" t="e">
        <f>'Customs Invoice'!D102</f>
        <v>#N/A</v>
      </c>
      <c r="E104" s="48" t="e">
        <f>'Customs Invoice'!E102</f>
        <v>#N/A</v>
      </c>
      <c r="F104" s="48"/>
      <c r="G104" s="49">
        <f>'Customs Invoice'!G102</f>
        <v>0</v>
      </c>
      <c r="H104" s="50" t="e">
        <f>'Customs Invoice'!H102</f>
        <v>#N/A</v>
      </c>
      <c r="I104" s="68">
        <f>'Customs Invoice'!I102</f>
        <v>0</v>
      </c>
      <c r="J104" s="95">
        <f>'Customs Invoice'!J102</f>
        <v>0</v>
      </c>
      <c r="K104" s="425"/>
      <c r="L104" s="426"/>
      <c r="M104" s="427"/>
      <c r="N104" s="66"/>
      <c r="O104" s="58"/>
    </row>
    <row r="105" spans="1:15" s="6" customFormat="1" ht="18" hidden="1" customHeight="1">
      <c r="A105" s="30"/>
      <c r="B105" s="46">
        <f>'Customs Invoice'!B103</f>
        <v>0</v>
      </c>
      <c r="C105" s="94" t="e">
        <f>'Customs Invoice'!C103</f>
        <v>#N/A</v>
      </c>
      <c r="D105" s="47" t="e">
        <f>'Customs Invoice'!D103</f>
        <v>#N/A</v>
      </c>
      <c r="E105" s="48" t="e">
        <f>'Customs Invoice'!E103</f>
        <v>#N/A</v>
      </c>
      <c r="F105" s="48"/>
      <c r="G105" s="49">
        <f>'Customs Invoice'!G103</f>
        <v>0</v>
      </c>
      <c r="H105" s="50" t="e">
        <f>'Customs Invoice'!H103</f>
        <v>#N/A</v>
      </c>
      <c r="I105" s="68">
        <f>'Customs Invoice'!I103</f>
        <v>0</v>
      </c>
      <c r="J105" s="95">
        <f>'Customs Invoice'!J103</f>
        <v>0</v>
      </c>
      <c r="K105" s="425"/>
      <c r="L105" s="426"/>
      <c r="M105" s="427"/>
      <c r="N105" s="66"/>
      <c r="O105" s="58"/>
    </row>
    <row r="106" spans="1:15" s="6" customFormat="1" ht="18" hidden="1" customHeight="1">
      <c r="A106" s="30"/>
      <c r="B106" s="46">
        <f>'Customs Invoice'!B104</f>
        <v>0</v>
      </c>
      <c r="C106" s="94" t="e">
        <f>'Customs Invoice'!C104</f>
        <v>#N/A</v>
      </c>
      <c r="D106" s="47" t="e">
        <f>'Customs Invoice'!D104</f>
        <v>#N/A</v>
      </c>
      <c r="E106" s="48" t="e">
        <f>'Customs Invoice'!E104</f>
        <v>#N/A</v>
      </c>
      <c r="F106" s="48"/>
      <c r="G106" s="49">
        <f>'Customs Invoice'!G104</f>
        <v>0</v>
      </c>
      <c r="H106" s="50" t="e">
        <f>'Customs Invoice'!H104</f>
        <v>#N/A</v>
      </c>
      <c r="I106" s="68">
        <f>'Customs Invoice'!I104</f>
        <v>0</v>
      </c>
      <c r="J106" s="95">
        <f>'Customs Invoice'!J104</f>
        <v>0</v>
      </c>
      <c r="K106" s="425"/>
      <c r="L106" s="426"/>
      <c r="M106" s="427"/>
      <c r="N106" s="66"/>
      <c r="O106" s="58"/>
    </row>
    <row r="107" spans="1:15" s="6" customFormat="1" ht="18" hidden="1" customHeight="1">
      <c r="A107" s="30"/>
      <c r="B107" s="46">
        <f>'Customs Invoice'!B105</f>
        <v>0</v>
      </c>
      <c r="C107" s="94" t="e">
        <f>'Customs Invoice'!C105</f>
        <v>#N/A</v>
      </c>
      <c r="D107" s="47" t="e">
        <f>'Customs Invoice'!D105</f>
        <v>#N/A</v>
      </c>
      <c r="E107" s="48" t="e">
        <f>'Customs Invoice'!E105</f>
        <v>#N/A</v>
      </c>
      <c r="F107" s="48"/>
      <c r="G107" s="49">
        <f>'Customs Invoice'!G105</f>
        <v>0</v>
      </c>
      <c r="H107" s="50" t="e">
        <f>'Customs Invoice'!H105</f>
        <v>#N/A</v>
      </c>
      <c r="I107" s="68">
        <f>'Customs Invoice'!I105</f>
        <v>0</v>
      </c>
      <c r="J107" s="95">
        <f>'Customs Invoice'!J105</f>
        <v>0</v>
      </c>
      <c r="K107" s="425"/>
      <c r="L107" s="426"/>
      <c r="M107" s="427"/>
      <c r="N107" s="66"/>
      <c r="O107" s="58"/>
    </row>
    <row r="108" spans="1:15" s="6" customFormat="1" ht="18" hidden="1" customHeight="1">
      <c r="A108" s="30"/>
      <c r="B108" s="46">
        <f>'Customs Invoice'!B106</f>
        <v>0</v>
      </c>
      <c r="C108" s="94" t="e">
        <f>'Customs Invoice'!C106</f>
        <v>#N/A</v>
      </c>
      <c r="D108" s="47" t="e">
        <f>'Customs Invoice'!D106</f>
        <v>#N/A</v>
      </c>
      <c r="E108" s="48" t="e">
        <f>'Customs Invoice'!E106</f>
        <v>#N/A</v>
      </c>
      <c r="F108" s="48"/>
      <c r="G108" s="49">
        <f>'Customs Invoice'!G106</f>
        <v>0</v>
      </c>
      <c r="H108" s="50" t="e">
        <f>'Customs Invoice'!H106</f>
        <v>#N/A</v>
      </c>
      <c r="I108" s="68">
        <f>'Customs Invoice'!I106</f>
        <v>0</v>
      </c>
      <c r="J108" s="95">
        <f>'Customs Invoice'!J106</f>
        <v>0</v>
      </c>
      <c r="K108" s="425"/>
      <c r="L108" s="426"/>
      <c r="M108" s="427"/>
      <c r="N108" s="66"/>
      <c r="O108" s="58"/>
    </row>
    <row r="109" spans="1:15" s="6" customFormat="1" ht="18" hidden="1" customHeight="1">
      <c r="A109" s="30"/>
      <c r="B109" s="46">
        <f>'Customs Invoice'!B107</f>
        <v>0</v>
      </c>
      <c r="C109" s="94" t="e">
        <f>'Customs Invoice'!C107</f>
        <v>#N/A</v>
      </c>
      <c r="D109" s="47" t="e">
        <f>'Customs Invoice'!D107</f>
        <v>#N/A</v>
      </c>
      <c r="E109" s="48" t="e">
        <f>'Customs Invoice'!E107</f>
        <v>#N/A</v>
      </c>
      <c r="F109" s="48"/>
      <c r="G109" s="49">
        <f>'Customs Invoice'!G107</f>
        <v>0</v>
      </c>
      <c r="H109" s="50" t="e">
        <f>'Customs Invoice'!H107</f>
        <v>#N/A</v>
      </c>
      <c r="I109" s="68">
        <f>'Customs Invoice'!I107</f>
        <v>0</v>
      </c>
      <c r="J109" s="95">
        <f>'Customs Invoice'!J107</f>
        <v>0</v>
      </c>
      <c r="K109" s="425"/>
      <c r="L109" s="426"/>
      <c r="M109" s="427"/>
      <c r="N109" s="66"/>
      <c r="O109" s="58"/>
    </row>
    <row r="110" spans="1:15" s="6" customFormat="1" ht="18" hidden="1" customHeight="1">
      <c r="A110" s="30"/>
      <c r="B110" s="46">
        <f>'Customs Invoice'!B108</f>
        <v>0</v>
      </c>
      <c r="C110" s="94" t="e">
        <f>'Customs Invoice'!C108</f>
        <v>#N/A</v>
      </c>
      <c r="D110" s="47" t="e">
        <f>'Customs Invoice'!D108</f>
        <v>#N/A</v>
      </c>
      <c r="E110" s="48" t="e">
        <f>'Customs Invoice'!E108</f>
        <v>#N/A</v>
      </c>
      <c r="F110" s="48"/>
      <c r="G110" s="49">
        <f>'Customs Invoice'!G108</f>
        <v>0</v>
      </c>
      <c r="H110" s="50" t="e">
        <f>'Customs Invoice'!H108</f>
        <v>#N/A</v>
      </c>
      <c r="I110" s="68">
        <f>'Customs Invoice'!I108</f>
        <v>0</v>
      </c>
      <c r="J110" s="95">
        <f>'Customs Invoice'!J108</f>
        <v>0</v>
      </c>
      <c r="K110" s="425"/>
      <c r="L110" s="426"/>
      <c r="M110" s="427"/>
      <c r="N110" s="66"/>
      <c r="O110" s="58"/>
    </row>
    <row r="111" spans="1:15" s="6" customFormat="1" ht="18" hidden="1" customHeight="1">
      <c r="A111" s="30"/>
      <c r="B111" s="46">
        <f>'Customs Invoice'!B109</f>
        <v>0</v>
      </c>
      <c r="C111" s="94" t="e">
        <f>'Customs Invoice'!C109</f>
        <v>#N/A</v>
      </c>
      <c r="D111" s="47" t="e">
        <f>'Customs Invoice'!D109</f>
        <v>#N/A</v>
      </c>
      <c r="E111" s="48" t="e">
        <f>'Customs Invoice'!E109</f>
        <v>#N/A</v>
      </c>
      <c r="F111" s="48"/>
      <c r="G111" s="49">
        <f>'Customs Invoice'!G109</f>
        <v>0</v>
      </c>
      <c r="H111" s="50" t="e">
        <f>'Customs Invoice'!H109</f>
        <v>#N/A</v>
      </c>
      <c r="I111" s="68">
        <f>'Customs Invoice'!I109</f>
        <v>0</v>
      </c>
      <c r="J111" s="95">
        <f>'Customs Invoice'!J109</f>
        <v>0</v>
      </c>
      <c r="K111" s="425"/>
      <c r="L111" s="426"/>
      <c r="M111" s="427"/>
      <c r="N111" s="66"/>
      <c r="O111" s="58"/>
    </row>
    <row r="112" spans="1:15" s="6" customFormat="1" ht="18" hidden="1" customHeight="1">
      <c r="A112" s="30"/>
      <c r="B112" s="46">
        <f>'Customs Invoice'!B110</f>
        <v>0</v>
      </c>
      <c r="C112" s="94" t="e">
        <f>'Customs Invoice'!C110</f>
        <v>#N/A</v>
      </c>
      <c r="D112" s="47" t="e">
        <f>'Customs Invoice'!D110</f>
        <v>#N/A</v>
      </c>
      <c r="E112" s="48" t="e">
        <f>'Customs Invoice'!E110</f>
        <v>#N/A</v>
      </c>
      <c r="F112" s="48"/>
      <c r="G112" s="49">
        <f>'Customs Invoice'!G110</f>
        <v>0</v>
      </c>
      <c r="H112" s="50" t="e">
        <f>'Customs Invoice'!H110</f>
        <v>#N/A</v>
      </c>
      <c r="I112" s="68">
        <f>'Customs Invoice'!I110</f>
        <v>0</v>
      </c>
      <c r="J112" s="95">
        <f>'Customs Invoice'!J110</f>
        <v>0</v>
      </c>
      <c r="K112" s="425"/>
      <c r="L112" s="426"/>
      <c r="M112" s="427"/>
      <c r="N112" s="66"/>
      <c r="O112" s="58"/>
    </row>
    <row r="113" spans="1:15" s="6" customFormat="1" ht="18" hidden="1" customHeight="1">
      <c r="A113" s="30"/>
      <c r="B113" s="46">
        <f>'Customs Invoice'!B111</f>
        <v>0</v>
      </c>
      <c r="C113" s="94" t="e">
        <f>'Customs Invoice'!C111</f>
        <v>#N/A</v>
      </c>
      <c r="D113" s="47" t="e">
        <f>'Customs Invoice'!D111</f>
        <v>#N/A</v>
      </c>
      <c r="E113" s="48" t="e">
        <f>'Customs Invoice'!E111</f>
        <v>#N/A</v>
      </c>
      <c r="F113" s="48"/>
      <c r="G113" s="49">
        <f>'Customs Invoice'!G111</f>
        <v>0</v>
      </c>
      <c r="H113" s="50" t="e">
        <f>'Customs Invoice'!H111</f>
        <v>#N/A</v>
      </c>
      <c r="I113" s="68">
        <f>'Customs Invoice'!I111</f>
        <v>0</v>
      </c>
      <c r="J113" s="95">
        <f>'Customs Invoice'!J111</f>
        <v>0</v>
      </c>
      <c r="K113" s="425"/>
      <c r="L113" s="426"/>
      <c r="M113" s="427"/>
      <c r="N113" s="66"/>
      <c r="O113" s="58"/>
    </row>
    <row r="114" spans="1:15" s="6" customFormat="1" ht="18" hidden="1" customHeight="1">
      <c r="A114" s="30"/>
      <c r="B114" s="46">
        <f>'Customs Invoice'!B112</f>
        <v>0</v>
      </c>
      <c r="C114" s="94" t="e">
        <f>'Customs Invoice'!C112</f>
        <v>#N/A</v>
      </c>
      <c r="D114" s="47" t="e">
        <f>'Customs Invoice'!D112</f>
        <v>#N/A</v>
      </c>
      <c r="E114" s="48" t="e">
        <f>'Customs Invoice'!E112</f>
        <v>#N/A</v>
      </c>
      <c r="F114" s="48"/>
      <c r="G114" s="49">
        <f>'Customs Invoice'!G112</f>
        <v>0</v>
      </c>
      <c r="H114" s="50" t="e">
        <f>'Customs Invoice'!H112</f>
        <v>#N/A</v>
      </c>
      <c r="I114" s="68">
        <f>'Customs Invoice'!I112</f>
        <v>0</v>
      </c>
      <c r="J114" s="95">
        <f>'Customs Invoice'!J112</f>
        <v>0</v>
      </c>
      <c r="K114" s="428"/>
      <c r="L114" s="429"/>
      <c r="M114" s="430"/>
      <c r="N114" s="66"/>
      <c r="O114" s="58"/>
    </row>
    <row r="115" spans="1:15" s="6" customFormat="1" ht="22.5" hidden="1" customHeight="1" thickBot="1">
      <c r="A115" s="30"/>
      <c r="B115" s="51"/>
      <c r="C115" s="99"/>
      <c r="D115" s="52"/>
      <c r="E115" s="53" t="s">
        <v>38</v>
      </c>
      <c r="F115" s="53"/>
      <c r="G115" s="54">
        <f t="shared" ref="G115:J115" si="3">SUM(G95:G114)</f>
        <v>0</v>
      </c>
      <c r="H115" s="55"/>
      <c r="I115" s="71">
        <f t="shared" si="3"/>
        <v>0</v>
      </c>
      <c r="J115" s="72">
        <f t="shared" si="3"/>
        <v>0</v>
      </c>
      <c r="K115" s="431">
        <f>SUM(K95)</f>
        <v>1</v>
      </c>
      <c r="L115" s="431"/>
      <c r="M115" s="432"/>
      <c r="N115" s="66"/>
      <c r="O115" s="58"/>
    </row>
    <row r="116" spans="1:15" s="6" customFormat="1" ht="15" hidden="1" customHeight="1">
      <c r="A116" s="39"/>
      <c r="B116" s="21"/>
      <c r="C116" s="102"/>
      <c r="D116" s="21"/>
      <c r="E116" s="21"/>
      <c r="F116" s="21"/>
      <c r="G116" s="21"/>
      <c r="H116" s="24"/>
      <c r="I116" s="30"/>
      <c r="J116" s="21"/>
      <c r="K116" s="30"/>
      <c r="L116" s="30"/>
      <c r="M116" s="21"/>
      <c r="N116" s="58"/>
      <c r="O116" s="58"/>
    </row>
    <row r="117" spans="1:15" s="6" customFormat="1" ht="25.5" hidden="1" customHeight="1" thickBot="1">
      <c r="A117" s="30"/>
      <c r="B117" s="40" t="s">
        <v>43</v>
      </c>
      <c r="C117" s="102"/>
      <c r="D117" s="41"/>
      <c r="E117" s="21"/>
      <c r="F117" s="21"/>
      <c r="G117" s="21"/>
      <c r="H117" s="21"/>
      <c r="I117" s="63"/>
      <c r="J117" s="13"/>
      <c r="K117" s="64"/>
      <c r="L117" s="64"/>
      <c r="M117" s="65"/>
      <c r="N117" s="66"/>
      <c r="O117" s="58"/>
    </row>
    <row r="118" spans="1:15" s="6" customFormat="1" ht="39" hidden="1" customHeight="1">
      <c r="A118" s="42"/>
      <c r="B118" s="43" t="s">
        <v>27</v>
      </c>
      <c r="C118" s="44" t="s">
        <v>28</v>
      </c>
      <c r="D118" s="44" t="s">
        <v>29</v>
      </c>
      <c r="E118" s="45" t="s">
        <v>30</v>
      </c>
      <c r="F118" s="45" t="s">
        <v>31</v>
      </c>
      <c r="G118" s="414" t="s">
        <v>32</v>
      </c>
      <c r="H118" s="414"/>
      <c r="I118" s="45" t="s">
        <v>33</v>
      </c>
      <c r="J118" s="67" t="s">
        <v>34</v>
      </c>
      <c r="K118" s="437" t="s">
        <v>52</v>
      </c>
      <c r="L118" s="438"/>
      <c r="M118" s="439"/>
      <c r="N118" s="66"/>
      <c r="O118" s="58"/>
    </row>
    <row r="119" spans="1:15" s="6" customFormat="1" ht="18" hidden="1" customHeight="1">
      <c r="A119" s="30"/>
      <c r="B119" s="46">
        <f>'Customs Invoice'!B117</f>
        <v>0</v>
      </c>
      <c r="C119" s="94" t="e">
        <f>'Customs Invoice'!C117</f>
        <v>#N/A</v>
      </c>
      <c r="D119" s="47" t="e">
        <f>'Customs Invoice'!D117</f>
        <v>#N/A</v>
      </c>
      <c r="E119" s="48" t="e">
        <f>'Customs Invoice'!E117</f>
        <v>#N/A</v>
      </c>
      <c r="F119" s="48"/>
      <c r="G119" s="49">
        <f>'Customs Invoice'!G117</f>
        <v>0</v>
      </c>
      <c r="H119" s="50" t="e">
        <f>'Customs Invoice'!H117</f>
        <v>#N/A</v>
      </c>
      <c r="I119" s="68">
        <f>'Customs Invoice'!I117</f>
        <v>0</v>
      </c>
      <c r="J119" s="95">
        <f>'Customs Invoice'!J117</f>
        <v>0</v>
      </c>
      <c r="K119" s="425">
        <v>1</v>
      </c>
      <c r="L119" s="426"/>
      <c r="M119" s="427"/>
      <c r="N119" s="66"/>
      <c r="O119" s="58"/>
    </row>
    <row r="120" spans="1:15" s="6" customFormat="1" ht="18" hidden="1" customHeight="1">
      <c r="A120" s="30"/>
      <c r="B120" s="46">
        <f>'Customs Invoice'!B118</f>
        <v>0</v>
      </c>
      <c r="C120" s="94" t="e">
        <f>'Customs Invoice'!C118</f>
        <v>#N/A</v>
      </c>
      <c r="D120" s="47" t="e">
        <f>'Customs Invoice'!D118</f>
        <v>#N/A</v>
      </c>
      <c r="E120" s="48" t="e">
        <f>'Customs Invoice'!E118</f>
        <v>#N/A</v>
      </c>
      <c r="F120" s="48"/>
      <c r="G120" s="49">
        <f>'Customs Invoice'!G118</f>
        <v>0</v>
      </c>
      <c r="H120" s="50" t="e">
        <f>'Customs Invoice'!H118</f>
        <v>#N/A</v>
      </c>
      <c r="I120" s="68">
        <f>'Customs Invoice'!I118</f>
        <v>0</v>
      </c>
      <c r="J120" s="95">
        <f>'Customs Invoice'!J118</f>
        <v>0</v>
      </c>
      <c r="K120" s="425"/>
      <c r="L120" s="426"/>
      <c r="M120" s="427"/>
      <c r="N120" s="66"/>
      <c r="O120" s="58"/>
    </row>
    <row r="121" spans="1:15" s="6" customFormat="1" ht="18" hidden="1" customHeight="1">
      <c r="A121" s="30"/>
      <c r="B121" s="46">
        <f>'Customs Invoice'!B119</f>
        <v>0</v>
      </c>
      <c r="C121" s="94" t="e">
        <f>'Customs Invoice'!C119</f>
        <v>#N/A</v>
      </c>
      <c r="D121" s="47" t="e">
        <f>'Customs Invoice'!D119</f>
        <v>#N/A</v>
      </c>
      <c r="E121" s="48" t="e">
        <f>'Customs Invoice'!E119</f>
        <v>#N/A</v>
      </c>
      <c r="F121" s="48"/>
      <c r="G121" s="49">
        <f>'Customs Invoice'!G119</f>
        <v>0</v>
      </c>
      <c r="H121" s="50" t="e">
        <f>'Customs Invoice'!H119</f>
        <v>#N/A</v>
      </c>
      <c r="I121" s="68">
        <f>'Customs Invoice'!I119</f>
        <v>0</v>
      </c>
      <c r="J121" s="95">
        <f>'Customs Invoice'!J119</f>
        <v>0</v>
      </c>
      <c r="K121" s="425"/>
      <c r="L121" s="426"/>
      <c r="M121" s="427"/>
      <c r="N121" s="66"/>
      <c r="O121" s="58"/>
    </row>
    <row r="122" spans="1:15" s="6" customFormat="1" ht="18" hidden="1" customHeight="1">
      <c r="A122" s="30"/>
      <c r="B122" s="46">
        <f>'Customs Invoice'!B120</f>
        <v>0</v>
      </c>
      <c r="C122" s="94" t="e">
        <f>'Customs Invoice'!C120</f>
        <v>#N/A</v>
      </c>
      <c r="D122" s="47" t="e">
        <f>'Customs Invoice'!D120</f>
        <v>#N/A</v>
      </c>
      <c r="E122" s="48" t="e">
        <f>'Customs Invoice'!E120</f>
        <v>#N/A</v>
      </c>
      <c r="F122" s="48"/>
      <c r="G122" s="49">
        <f>'Customs Invoice'!G120</f>
        <v>0</v>
      </c>
      <c r="H122" s="50" t="e">
        <f>'Customs Invoice'!H120</f>
        <v>#N/A</v>
      </c>
      <c r="I122" s="68">
        <f>'Customs Invoice'!I120</f>
        <v>0</v>
      </c>
      <c r="J122" s="95">
        <f>'Customs Invoice'!J120</f>
        <v>0</v>
      </c>
      <c r="K122" s="425"/>
      <c r="L122" s="426"/>
      <c r="M122" s="427"/>
      <c r="N122" s="66"/>
      <c r="O122" s="58"/>
    </row>
    <row r="123" spans="1:15" s="6" customFormat="1" ht="18" hidden="1" customHeight="1">
      <c r="A123" s="30"/>
      <c r="B123" s="46">
        <f>'Customs Invoice'!B121</f>
        <v>0</v>
      </c>
      <c r="C123" s="94" t="e">
        <f>'Customs Invoice'!C121</f>
        <v>#N/A</v>
      </c>
      <c r="D123" s="47" t="e">
        <f>'Customs Invoice'!D121</f>
        <v>#N/A</v>
      </c>
      <c r="E123" s="48" t="e">
        <f>'Customs Invoice'!E121</f>
        <v>#N/A</v>
      </c>
      <c r="F123" s="48"/>
      <c r="G123" s="49">
        <f>'Customs Invoice'!G121</f>
        <v>0</v>
      </c>
      <c r="H123" s="50" t="e">
        <f>'Customs Invoice'!H121</f>
        <v>#N/A</v>
      </c>
      <c r="I123" s="68">
        <f>'Customs Invoice'!I121</f>
        <v>0</v>
      </c>
      <c r="J123" s="95">
        <f>'Customs Invoice'!J121</f>
        <v>0</v>
      </c>
      <c r="K123" s="425"/>
      <c r="L123" s="426"/>
      <c r="M123" s="427"/>
      <c r="N123" s="66"/>
      <c r="O123" s="58"/>
    </row>
    <row r="124" spans="1:15" s="6" customFormat="1" ht="18" hidden="1" customHeight="1">
      <c r="A124" s="30"/>
      <c r="B124" s="46">
        <f>'Customs Invoice'!B122</f>
        <v>0</v>
      </c>
      <c r="C124" s="94" t="e">
        <f>'Customs Invoice'!C122</f>
        <v>#N/A</v>
      </c>
      <c r="D124" s="47" t="e">
        <f>'Customs Invoice'!D122</f>
        <v>#N/A</v>
      </c>
      <c r="E124" s="48" t="e">
        <f>'Customs Invoice'!E122</f>
        <v>#N/A</v>
      </c>
      <c r="F124" s="48"/>
      <c r="G124" s="49">
        <f>'Customs Invoice'!G122</f>
        <v>0</v>
      </c>
      <c r="H124" s="50" t="e">
        <f>'Customs Invoice'!H122</f>
        <v>#N/A</v>
      </c>
      <c r="I124" s="68">
        <f>'Customs Invoice'!I122</f>
        <v>0</v>
      </c>
      <c r="J124" s="95">
        <f>'Customs Invoice'!J122</f>
        <v>0</v>
      </c>
      <c r="K124" s="425"/>
      <c r="L124" s="426"/>
      <c r="M124" s="427"/>
      <c r="N124" s="66"/>
      <c r="O124" s="58"/>
    </row>
    <row r="125" spans="1:15" s="6" customFormat="1" ht="18" hidden="1" customHeight="1">
      <c r="A125" s="30"/>
      <c r="B125" s="46">
        <f>'Customs Invoice'!B123</f>
        <v>0</v>
      </c>
      <c r="C125" s="94" t="e">
        <f>'Customs Invoice'!C123</f>
        <v>#N/A</v>
      </c>
      <c r="D125" s="47" t="e">
        <f>'Customs Invoice'!D123</f>
        <v>#N/A</v>
      </c>
      <c r="E125" s="48" t="e">
        <f>'Customs Invoice'!E123</f>
        <v>#N/A</v>
      </c>
      <c r="F125" s="48"/>
      <c r="G125" s="49">
        <f>'Customs Invoice'!G123</f>
        <v>0</v>
      </c>
      <c r="H125" s="50" t="e">
        <f>'Customs Invoice'!H123</f>
        <v>#N/A</v>
      </c>
      <c r="I125" s="68">
        <f>'Customs Invoice'!I123</f>
        <v>0</v>
      </c>
      <c r="J125" s="95">
        <f>'Customs Invoice'!J123</f>
        <v>0</v>
      </c>
      <c r="K125" s="425"/>
      <c r="L125" s="426"/>
      <c r="M125" s="427"/>
      <c r="N125" s="66"/>
      <c r="O125" s="58"/>
    </row>
    <row r="126" spans="1:15" s="6" customFormat="1" ht="18" hidden="1" customHeight="1">
      <c r="A126" s="30"/>
      <c r="B126" s="46">
        <f>'Customs Invoice'!B124</f>
        <v>0</v>
      </c>
      <c r="C126" s="94" t="e">
        <f>'Customs Invoice'!C124</f>
        <v>#N/A</v>
      </c>
      <c r="D126" s="47" t="e">
        <f>'Customs Invoice'!D124</f>
        <v>#N/A</v>
      </c>
      <c r="E126" s="48" t="e">
        <f>'Customs Invoice'!E124</f>
        <v>#N/A</v>
      </c>
      <c r="F126" s="48"/>
      <c r="G126" s="49">
        <f>'Customs Invoice'!G124</f>
        <v>0</v>
      </c>
      <c r="H126" s="50" t="e">
        <f>'Customs Invoice'!H124</f>
        <v>#N/A</v>
      </c>
      <c r="I126" s="68">
        <f>'Customs Invoice'!I124</f>
        <v>0</v>
      </c>
      <c r="J126" s="95">
        <f>'Customs Invoice'!J124</f>
        <v>0</v>
      </c>
      <c r="K126" s="425"/>
      <c r="L126" s="426"/>
      <c r="M126" s="427"/>
      <c r="N126" s="66"/>
      <c r="O126" s="58"/>
    </row>
    <row r="127" spans="1:15" s="6" customFormat="1" ht="18" hidden="1" customHeight="1">
      <c r="A127" s="30"/>
      <c r="B127" s="46">
        <f>'Customs Invoice'!B125</f>
        <v>0</v>
      </c>
      <c r="C127" s="94" t="e">
        <f>'Customs Invoice'!C125</f>
        <v>#N/A</v>
      </c>
      <c r="D127" s="47" t="e">
        <f>'Customs Invoice'!D125</f>
        <v>#N/A</v>
      </c>
      <c r="E127" s="48" t="e">
        <f>'Customs Invoice'!E125</f>
        <v>#N/A</v>
      </c>
      <c r="F127" s="48"/>
      <c r="G127" s="49">
        <f>'Customs Invoice'!G125</f>
        <v>0</v>
      </c>
      <c r="H127" s="50" t="e">
        <f>'Customs Invoice'!H125</f>
        <v>#N/A</v>
      </c>
      <c r="I127" s="68">
        <f>'Customs Invoice'!I125</f>
        <v>0</v>
      </c>
      <c r="J127" s="95">
        <f>'Customs Invoice'!J125</f>
        <v>0</v>
      </c>
      <c r="K127" s="425"/>
      <c r="L127" s="426"/>
      <c r="M127" s="427"/>
      <c r="N127" s="66"/>
      <c r="O127" s="58"/>
    </row>
    <row r="128" spans="1:15" s="6" customFormat="1" ht="18" hidden="1" customHeight="1">
      <c r="A128" s="30"/>
      <c r="B128" s="46">
        <f>'Customs Invoice'!B126</f>
        <v>0</v>
      </c>
      <c r="C128" s="94" t="e">
        <f>'Customs Invoice'!C126</f>
        <v>#N/A</v>
      </c>
      <c r="D128" s="47" t="e">
        <f>'Customs Invoice'!D126</f>
        <v>#N/A</v>
      </c>
      <c r="E128" s="48" t="e">
        <f>'Customs Invoice'!E126</f>
        <v>#N/A</v>
      </c>
      <c r="F128" s="48"/>
      <c r="G128" s="49">
        <f>'Customs Invoice'!G126</f>
        <v>0</v>
      </c>
      <c r="H128" s="50" t="e">
        <f>'Customs Invoice'!H126</f>
        <v>#N/A</v>
      </c>
      <c r="I128" s="68">
        <f>'Customs Invoice'!I126</f>
        <v>0</v>
      </c>
      <c r="J128" s="95">
        <f>'Customs Invoice'!J126</f>
        <v>0</v>
      </c>
      <c r="K128" s="425"/>
      <c r="L128" s="426"/>
      <c r="M128" s="427"/>
      <c r="N128" s="66"/>
      <c r="O128" s="58"/>
    </row>
    <row r="129" spans="1:15" s="6" customFormat="1" ht="18" hidden="1" customHeight="1">
      <c r="A129" s="30"/>
      <c r="B129" s="46">
        <f>'Customs Invoice'!B127</f>
        <v>0</v>
      </c>
      <c r="C129" s="94" t="e">
        <f>'Customs Invoice'!C127</f>
        <v>#N/A</v>
      </c>
      <c r="D129" s="47" t="e">
        <f>'Customs Invoice'!D127</f>
        <v>#N/A</v>
      </c>
      <c r="E129" s="48" t="e">
        <f>'Customs Invoice'!E127</f>
        <v>#N/A</v>
      </c>
      <c r="F129" s="48"/>
      <c r="G129" s="49">
        <f>'Customs Invoice'!G127</f>
        <v>0</v>
      </c>
      <c r="H129" s="50" t="e">
        <f>'Customs Invoice'!H127</f>
        <v>#N/A</v>
      </c>
      <c r="I129" s="68">
        <f>'Customs Invoice'!I127</f>
        <v>0</v>
      </c>
      <c r="J129" s="95">
        <f>'Customs Invoice'!J127</f>
        <v>0</v>
      </c>
      <c r="K129" s="425"/>
      <c r="L129" s="426"/>
      <c r="M129" s="427"/>
      <c r="N129" s="66"/>
      <c r="O129" s="58"/>
    </row>
    <row r="130" spans="1:15" s="6" customFormat="1" ht="18" hidden="1" customHeight="1">
      <c r="A130" s="30"/>
      <c r="B130" s="46">
        <f>'Customs Invoice'!B128</f>
        <v>0</v>
      </c>
      <c r="C130" s="94" t="e">
        <f>'Customs Invoice'!C128</f>
        <v>#N/A</v>
      </c>
      <c r="D130" s="47" t="e">
        <f>'Customs Invoice'!D128</f>
        <v>#N/A</v>
      </c>
      <c r="E130" s="48" t="e">
        <f>'Customs Invoice'!E128</f>
        <v>#N/A</v>
      </c>
      <c r="F130" s="48"/>
      <c r="G130" s="49">
        <f>'Customs Invoice'!G128</f>
        <v>0</v>
      </c>
      <c r="H130" s="50" t="e">
        <f>'Customs Invoice'!H128</f>
        <v>#N/A</v>
      </c>
      <c r="I130" s="68">
        <f>'Customs Invoice'!I128</f>
        <v>0</v>
      </c>
      <c r="J130" s="95">
        <f>'Customs Invoice'!J128</f>
        <v>0</v>
      </c>
      <c r="K130" s="425"/>
      <c r="L130" s="426"/>
      <c r="M130" s="427"/>
      <c r="N130" s="66"/>
      <c r="O130" s="58"/>
    </row>
    <row r="131" spans="1:15" s="6" customFormat="1" ht="18" hidden="1" customHeight="1">
      <c r="A131" s="30"/>
      <c r="B131" s="46">
        <f>'Customs Invoice'!B129</f>
        <v>0</v>
      </c>
      <c r="C131" s="94" t="e">
        <f>'Customs Invoice'!C129</f>
        <v>#N/A</v>
      </c>
      <c r="D131" s="47" t="e">
        <f>'Customs Invoice'!D129</f>
        <v>#N/A</v>
      </c>
      <c r="E131" s="48" t="e">
        <f>'Customs Invoice'!E129</f>
        <v>#N/A</v>
      </c>
      <c r="F131" s="48"/>
      <c r="G131" s="49">
        <f>'Customs Invoice'!G129</f>
        <v>0</v>
      </c>
      <c r="H131" s="50" t="e">
        <f>'Customs Invoice'!H129</f>
        <v>#N/A</v>
      </c>
      <c r="I131" s="68">
        <f>'Customs Invoice'!I129</f>
        <v>0</v>
      </c>
      <c r="J131" s="95">
        <f>'Customs Invoice'!J129</f>
        <v>0</v>
      </c>
      <c r="K131" s="425"/>
      <c r="L131" s="426"/>
      <c r="M131" s="427"/>
      <c r="N131" s="66"/>
      <c r="O131" s="58"/>
    </row>
    <row r="132" spans="1:15" s="6" customFormat="1" ht="18" hidden="1" customHeight="1">
      <c r="A132" s="30"/>
      <c r="B132" s="46">
        <f>'Customs Invoice'!B130</f>
        <v>0</v>
      </c>
      <c r="C132" s="94" t="e">
        <f>'Customs Invoice'!C130</f>
        <v>#N/A</v>
      </c>
      <c r="D132" s="47" t="e">
        <f>'Customs Invoice'!D130</f>
        <v>#N/A</v>
      </c>
      <c r="E132" s="48" t="e">
        <f>'Customs Invoice'!E130</f>
        <v>#N/A</v>
      </c>
      <c r="F132" s="48"/>
      <c r="G132" s="49">
        <f>'Customs Invoice'!G130</f>
        <v>0</v>
      </c>
      <c r="H132" s="50" t="e">
        <f>'Customs Invoice'!H130</f>
        <v>#N/A</v>
      </c>
      <c r="I132" s="68">
        <f>'Customs Invoice'!I130</f>
        <v>0</v>
      </c>
      <c r="J132" s="95">
        <f>'Customs Invoice'!J130</f>
        <v>0</v>
      </c>
      <c r="K132" s="425"/>
      <c r="L132" s="426"/>
      <c r="M132" s="427"/>
      <c r="N132" s="66"/>
      <c r="O132" s="58"/>
    </row>
    <row r="133" spans="1:15" s="6" customFormat="1" ht="18" hidden="1" customHeight="1">
      <c r="A133" s="30"/>
      <c r="B133" s="46">
        <f>'Customs Invoice'!B131</f>
        <v>0</v>
      </c>
      <c r="C133" s="94" t="e">
        <f>'Customs Invoice'!C131</f>
        <v>#N/A</v>
      </c>
      <c r="D133" s="47" t="e">
        <f>'Customs Invoice'!D131</f>
        <v>#N/A</v>
      </c>
      <c r="E133" s="48" t="e">
        <f>'Customs Invoice'!E131</f>
        <v>#N/A</v>
      </c>
      <c r="F133" s="48"/>
      <c r="G133" s="49">
        <f>'Customs Invoice'!G131</f>
        <v>0</v>
      </c>
      <c r="H133" s="50" t="e">
        <f>'Customs Invoice'!H131</f>
        <v>#N/A</v>
      </c>
      <c r="I133" s="68">
        <f>'Customs Invoice'!I131</f>
        <v>0</v>
      </c>
      <c r="J133" s="95">
        <f>'Customs Invoice'!J131</f>
        <v>0</v>
      </c>
      <c r="K133" s="425"/>
      <c r="L133" s="426"/>
      <c r="M133" s="427"/>
      <c r="N133" s="66"/>
      <c r="O133" s="58"/>
    </row>
    <row r="134" spans="1:15" s="6" customFormat="1" ht="18" hidden="1" customHeight="1">
      <c r="A134" s="30"/>
      <c r="B134" s="46">
        <f>'Customs Invoice'!B132</f>
        <v>0</v>
      </c>
      <c r="C134" s="94" t="e">
        <f>'Customs Invoice'!C132</f>
        <v>#N/A</v>
      </c>
      <c r="D134" s="47" t="e">
        <f>'Customs Invoice'!D132</f>
        <v>#N/A</v>
      </c>
      <c r="E134" s="48" t="e">
        <f>'Customs Invoice'!E132</f>
        <v>#N/A</v>
      </c>
      <c r="F134" s="48"/>
      <c r="G134" s="49">
        <f>'Customs Invoice'!G132</f>
        <v>0</v>
      </c>
      <c r="H134" s="50" t="e">
        <f>'Customs Invoice'!H132</f>
        <v>#N/A</v>
      </c>
      <c r="I134" s="68">
        <f>'Customs Invoice'!I132</f>
        <v>0</v>
      </c>
      <c r="J134" s="95">
        <f>'Customs Invoice'!J132</f>
        <v>0</v>
      </c>
      <c r="K134" s="425"/>
      <c r="L134" s="426"/>
      <c r="M134" s="427"/>
      <c r="N134" s="66"/>
      <c r="O134" s="58"/>
    </row>
    <row r="135" spans="1:15" s="6" customFormat="1" ht="18" hidden="1" customHeight="1">
      <c r="A135" s="30"/>
      <c r="B135" s="46">
        <f>'Customs Invoice'!B133</f>
        <v>0</v>
      </c>
      <c r="C135" s="94" t="e">
        <f>'Customs Invoice'!C133</f>
        <v>#N/A</v>
      </c>
      <c r="D135" s="47" t="e">
        <f>'Customs Invoice'!D133</f>
        <v>#N/A</v>
      </c>
      <c r="E135" s="48" t="e">
        <f>'Customs Invoice'!E133</f>
        <v>#N/A</v>
      </c>
      <c r="F135" s="48"/>
      <c r="G135" s="49">
        <f>'Customs Invoice'!G133</f>
        <v>0</v>
      </c>
      <c r="H135" s="50" t="e">
        <f>'Customs Invoice'!H133</f>
        <v>#N/A</v>
      </c>
      <c r="I135" s="68">
        <f>'Customs Invoice'!I133</f>
        <v>0</v>
      </c>
      <c r="J135" s="95">
        <f>'Customs Invoice'!J133</f>
        <v>0</v>
      </c>
      <c r="K135" s="425"/>
      <c r="L135" s="426"/>
      <c r="M135" s="427"/>
      <c r="N135" s="66"/>
      <c r="O135" s="58"/>
    </row>
    <row r="136" spans="1:15" s="6" customFormat="1" ht="18" hidden="1" customHeight="1">
      <c r="A136" s="30"/>
      <c r="B136" s="46">
        <f>'Customs Invoice'!B134</f>
        <v>0</v>
      </c>
      <c r="C136" s="94" t="e">
        <f>'Customs Invoice'!C134</f>
        <v>#N/A</v>
      </c>
      <c r="D136" s="47" t="e">
        <f>'Customs Invoice'!D134</f>
        <v>#N/A</v>
      </c>
      <c r="E136" s="48" t="e">
        <f>'Customs Invoice'!E134</f>
        <v>#N/A</v>
      </c>
      <c r="F136" s="48"/>
      <c r="G136" s="49">
        <f>'Customs Invoice'!G134</f>
        <v>0</v>
      </c>
      <c r="H136" s="50" t="e">
        <f>'Customs Invoice'!H134</f>
        <v>#N/A</v>
      </c>
      <c r="I136" s="68">
        <f>'Customs Invoice'!I134</f>
        <v>0</v>
      </c>
      <c r="J136" s="95">
        <f>'Customs Invoice'!J134</f>
        <v>0</v>
      </c>
      <c r="K136" s="425"/>
      <c r="L136" s="426"/>
      <c r="M136" s="427"/>
      <c r="N136" s="66"/>
      <c r="O136" s="58"/>
    </row>
    <row r="137" spans="1:15" s="6" customFormat="1" ht="18" hidden="1" customHeight="1">
      <c r="A137" s="30"/>
      <c r="B137" s="46">
        <f>'Customs Invoice'!B135</f>
        <v>0</v>
      </c>
      <c r="C137" s="94" t="e">
        <f>'Customs Invoice'!C135</f>
        <v>#N/A</v>
      </c>
      <c r="D137" s="47" t="e">
        <f>'Customs Invoice'!D135</f>
        <v>#N/A</v>
      </c>
      <c r="E137" s="48" t="e">
        <f>'Customs Invoice'!E135</f>
        <v>#N/A</v>
      </c>
      <c r="F137" s="48"/>
      <c r="G137" s="49">
        <f>'Customs Invoice'!G135</f>
        <v>0</v>
      </c>
      <c r="H137" s="50" t="e">
        <f>'Customs Invoice'!H135</f>
        <v>#N/A</v>
      </c>
      <c r="I137" s="68">
        <f>'Customs Invoice'!I135</f>
        <v>0</v>
      </c>
      <c r="J137" s="95">
        <f>'Customs Invoice'!J135</f>
        <v>0</v>
      </c>
      <c r="K137" s="425"/>
      <c r="L137" s="426"/>
      <c r="M137" s="427"/>
      <c r="N137" s="66"/>
      <c r="O137" s="58"/>
    </row>
    <row r="138" spans="1:15" s="6" customFormat="1" ht="18" hidden="1" customHeight="1">
      <c r="A138" s="30"/>
      <c r="B138" s="46">
        <f>'Customs Invoice'!B136</f>
        <v>0</v>
      </c>
      <c r="C138" s="94" t="e">
        <f>'Customs Invoice'!C136</f>
        <v>#N/A</v>
      </c>
      <c r="D138" s="47" t="e">
        <f>'Customs Invoice'!D136</f>
        <v>#N/A</v>
      </c>
      <c r="E138" s="48" t="e">
        <f>'Customs Invoice'!E136</f>
        <v>#N/A</v>
      </c>
      <c r="F138" s="48"/>
      <c r="G138" s="49">
        <f>'Customs Invoice'!G136</f>
        <v>0</v>
      </c>
      <c r="H138" s="50" t="e">
        <f>'Customs Invoice'!H136</f>
        <v>#N/A</v>
      </c>
      <c r="I138" s="68">
        <f>'Customs Invoice'!I136</f>
        <v>0</v>
      </c>
      <c r="J138" s="95">
        <f>'Customs Invoice'!J136</f>
        <v>0</v>
      </c>
      <c r="K138" s="428"/>
      <c r="L138" s="429"/>
      <c r="M138" s="430"/>
      <c r="N138" s="66"/>
      <c r="O138" s="58"/>
    </row>
    <row r="139" spans="1:15" s="6" customFormat="1" ht="22.5" hidden="1" customHeight="1" thickBot="1">
      <c r="A139" s="30"/>
      <c r="B139" s="51"/>
      <c r="C139" s="99"/>
      <c r="D139" s="52"/>
      <c r="E139" s="53" t="s">
        <v>38</v>
      </c>
      <c r="F139" s="53"/>
      <c r="G139" s="54">
        <f t="shared" ref="G139:J139" si="4">SUM(G119:G138)</f>
        <v>0</v>
      </c>
      <c r="H139" s="55"/>
      <c r="I139" s="71">
        <f t="shared" si="4"/>
        <v>0</v>
      </c>
      <c r="J139" s="72">
        <f t="shared" si="4"/>
        <v>0</v>
      </c>
      <c r="K139" s="431">
        <f>SUM(K119)</f>
        <v>1</v>
      </c>
      <c r="L139" s="431"/>
      <c r="M139" s="432"/>
      <c r="N139" s="66"/>
      <c r="O139" s="58"/>
    </row>
    <row r="140" spans="1:15" s="6" customFormat="1" ht="15.5" hidden="1">
      <c r="A140" s="30"/>
      <c r="B140" s="105"/>
      <c r="C140" s="106"/>
      <c r="D140" s="105"/>
      <c r="E140" s="76"/>
      <c r="F140" s="76"/>
      <c r="G140" s="87"/>
      <c r="H140" s="88"/>
      <c r="I140" s="82"/>
      <c r="J140" s="82"/>
      <c r="K140" s="107"/>
      <c r="L140" s="107"/>
      <c r="M140" s="107"/>
      <c r="N140" s="66"/>
      <c r="O140" s="58"/>
    </row>
    <row r="141" spans="1:15" s="6" customFormat="1" ht="25.5" hidden="1" customHeight="1" thickBot="1">
      <c r="A141" s="30"/>
      <c r="B141" s="40" t="s">
        <v>115</v>
      </c>
      <c r="C141" s="102"/>
      <c r="D141" s="41"/>
      <c r="E141" s="21"/>
      <c r="F141" s="21"/>
      <c r="G141" s="21"/>
      <c r="H141" s="21"/>
      <c r="I141" s="63"/>
      <c r="J141" s="13"/>
      <c r="K141" s="64"/>
      <c r="L141" s="64"/>
      <c r="M141" s="65"/>
      <c r="N141" s="66"/>
      <c r="O141" s="58"/>
    </row>
    <row r="142" spans="1:15" s="6" customFormat="1" ht="39" hidden="1" customHeight="1">
      <c r="A142" s="42"/>
      <c r="B142" s="43" t="s">
        <v>27</v>
      </c>
      <c r="C142" s="44" t="s">
        <v>28</v>
      </c>
      <c r="D142" s="44" t="s">
        <v>29</v>
      </c>
      <c r="E142" s="45" t="s">
        <v>30</v>
      </c>
      <c r="F142" s="45" t="s">
        <v>31</v>
      </c>
      <c r="G142" s="414" t="s">
        <v>32</v>
      </c>
      <c r="H142" s="414"/>
      <c r="I142" s="45" t="s">
        <v>33</v>
      </c>
      <c r="J142" s="67" t="s">
        <v>34</v>
      </c>
      <c r="K142" s="437" t="s">
        <v>52</v>
      </c>
      <c r="L142" s="438"/>
      <c r="M142" s="439"/>
      <c r="N142" s="66"/>
      <c r="O142" s="58"/>
    </row>
    <row r="143" spans="1:15" s="6" customFormat="1" ht="18" hidden="1" customHeight="1">
      <c r="A143" s="30"/>
      <c r="B143" s="46">
        <f>'Customs Invoice'!B141</f>
        <v>0</v>
      </c>
      <c r="C143" s="94" t="e">
        <f>'Customs Invoice'!C141</f>
        <v>#N/A</v>
      </c>
      <c r="D143" s="47" t="e">
        <f>'Customs Invoice'!D141</f>
        <v>#N/A</v>
      </c>
      <c r="E143" s="48" t="e">
        <f>'Customs Invoice'!E141</f>
        <v>#N/A</v>
      </c>
      <c r="F143" s="48"/>
      <c r="G143" s="49">
        <f>'Customs Invoice'!G141</f>
        <v>0</v>
      </c>
      <c r="H143" s="50" t="e">
        <f>'Customs Invoice'!H141</f>
        <v>#N/A</v>
      </c>
      <c r="I143" s="68">
        <f>'Customs Invoice'!I141</f>
        <v>0</v>
      </c>
      <c r="J143" s="95">
        <f>'Customs Invoice'!J141</f>
        <v>0</v>
      </c>
      <c r="K143" s="425">
        <v>1</v>
      </c>
      <c r="L143" s="426"/>
      <c r="M143" s="427"/>
      <c r="N143" s="66"/>
      <c r="O143" s="58"/>
    </row>
    <row r="144" spans="1:15" s="6" customFormat="1" ht="18" hidden="1" customHeight="1">
      <c r="A144" s="30"/>
      <c r="B144" s="46">
        <f>'Customs Invoice'!B142</f>
        <v>0</v>
      </c>
      <c r="C144" s="94" t="e">
        <f>'Customs Invoice'!C142</f>
        <v>#N/A</v>
      </c>
      <c r="D144" s="47" t="e">
        <f>'Customs Invoice'!D142</f>
        <v>#N/A</v>
      </c>
      <c r="E144" s="48" t="e">
        <f>'Customs Invoice'!E142</f>
        <v>#N/A</v>
      </c>
      <c r="F144" s="48"/>
      <c r="G144" s="49">
        <f>'Customs Invoice'!G142</f>
        <v>0</v>
      </c>
      <c r="H144" s="50" t="e">
        <f>'Customs Invoice'!H142</f>
        <v>#N/A</v>
      </c>
      <c r="I144" s="68">
        <f>'Customs Invoice'!I142</f>
        <v>0</v>
      </c>
      <c r="J144" s="95">
        <f>'Customs Invoice'!J142</f>
        <v>0</v>
      </c>
      <c r="K144" s="425"/>
      <c r="L144" s="426"/>
      <c r="M144" s="427"/>
      <c r="N144" s="66"/>
      <c r="O144" s="58"/>
    </row>
    <row r="145" spans="1:15" s="6" customFormat="1" ht="18" hidden="1" customHeight="1">
      <c r="A145" s="30"/>
      <c r="B145" s="46">
        <f>'Customs Invoice'!B143</f>
        <v>0</v>
      </c>
      <c r="C145" s="94" t="e">
        <f>'Customs Invoice'!C143</f>
        <v>#N/A</v>
      </c>
      <c r="D145" s="47" t="e">
        <f>'Customs Invoice'!D143</f>
        <v>#N/A</v>
      </c>
      <c r="E145" s="48" t="e">
        <f>'Customs Invoice'!E143</f>
        <v>#N/A</v>
      </c>
      <c r="F145" s="48"/>
      <c r="G145" s="49">
        <f>'Customs Invoice'!G143</f>
        <v>0</v>
      </c>
      <c r="H145" s="50" t="e">
        <f>'Customs Invoice'!H143</f>
        <v>#N/A</v>
      </c>
      <c r="I145" s="68">
        <f>'Customs Invoice'!I143</f>
        <v>0</v>
      </c>
      <c r="J145" s="95">
        <f>'Customs Invoice'!J143</f>
        <v>0</v>
      </c>
      <c r="K145" s="425"/>
      <c r="L145" s="426"/>
      <c r="M145" s="427"/>
      <c r="N145" s="66"/>
      <c r="O145" s="58"/>
    </row>
    <row r="146" spans="1:15" s="6" customFormat="1" ht="18" hidden="1" customHeight="1">
      <c r="A146" s="30"/>
      <c r="B146" s="46">
        <f>'Customs Invoice'!B144</f>
        <v>0</v>
      </c>
      <c r="C146" s="94" t="e">
        <f>'Customs Invoice'!C144</f>
        <v>#N/A</v>
      </c>
      <c r="D146" s="47" t="e">
        <f>'Customs Invoice'!D144</f>
        <v>#N/A</v>
      </c>
      <c r="E146" s="48" t="e">
        <f>'Customs Invoice'!E144</f>
        <v>#N/A</v>
      </c>
      <c r="F146" s="48"/>
      <c r="G146" s="49">
        <f>'Customs Invoice'!G144</f>
        <v>0</v>
      </c>
      <c r="H146" s="50" t="e">
        <f>'Customs Invoice'!H144</f>
        <v>#N/A</v>
      </c>
      <c r="I146" s="68">
        <f>'Customs Invoice'!I144</f>
        <v>0</v>
      </c>
      <c r="J146" s="95">
        <f>'Customs Invoice'!J144</f>
        <v>0</v>
      </c>
      <c r="K146" s="425"/>
      <c r="L146" s="426"/>
      <c r="M146" s="427"/>
      <c r="N146" s="66"/>
      <c r="O146" s="58"/>
    </row>
    <row r="147" spans="1:15" s="6" customFormat="1" ht="18" hidden="1" customHeight="1">
      <c r="A147" s="30"/>
      <c r="B147" s="46">
        <f>'Customs Invoice'!B145</f>
        <v>0</v>
      </c>
      <c r="C147" s="94" t="e">
        <f>'Customs Invoice'!C145</f>
        <v>#N/A</v>
      </c>
      <c r="D147" s="47" t="e">
        <f>'Customs Invoice'!D145</f>
        <v>#N/A</v>
      </c>
      <c r="E147" s="48" t="e">
        <f>'Customs Invoice'!E145</f>
        <v>#N/A</v>
      </c>
      <c r="F147" s="48"/>
      <c r="G147" s="49">
        <f>'Customs Invoice'!G145</f>
        <v>0</v>
      </c>
      <c r="H147" s="50" t="e">
        <f>'Customs Invoice'!H145</f>
        <v>#N/A</v>
      </c>
      <c r="I147" s="68">
        <f>'Customs Invoice'!I145</f>
        <v>0</v>
      </c>
      <c r="J147" s="95">
        <f>'Customs Invoice'!J145</f>
        <v>0</v>
      </c>
      <c r="K147" s="425"/>
      <c r="L147" s="426"/>
      <c r="M147" s="427"/>
      <c r="N147" s="66"/>
      <c r="O147" s="58"/>
    </row>
    <row r="148" spans="1:15" s="6" customFormat="1" ht="18" hidden="1" customHeight="1">
      <c r="A148" s="30"/>
      <c r="B148" s="46">
        <f>'Customs Invoice'!B146</f>
        <v>0</v>
      </c>
      <c r="C148" s="94" t="e">
        <f>'Customs Invoice'!C146</f>
        <v>#N/A</v>
      </c>
      <c r="D148" s="47" t="e">
        <f>'Customs Invoice'!D146</f>
        <v>#N/A</v>
      </c>
      <c r="E148" s="48" t="e">
        <f>'Customs Invoice'!E146</f>
        <v>#N/A</v>
      </c>
      <c r="F148" s="48"/>
      <c r="G148" s="49">
        <f>'Customs Invoice'!G146</f>
        <v>0</v>
      </c>
      <c r="H148" s="50" t="e">
        <f>'Customs Invoice'!H146</f>
        <v>#N/A</v>
      </c>
      <c r="I148" s="68">
        <f>'Customs Invoice'!I146</f>
        <v>0</v>
      </c>
      <c r="J148" s="95">
        <f>'Customs Invoice'!J146</f>
        <v>0</v>
      </c>
      <c r="K148" s="425"/>
      <c r="L148" s="426"/>
      <c r="M148" s="427"/>
      <c r="N148" s="66"/>
      <c r="O148" s="58"/>
    </row>
    <row r="149" spans="1:15" s="6" customFormat="1" ht="18" hidden="1" customHeight="1">
      <c r="A149" s="30"/>
      <c r="B149" s="46">
        <f>'Customs Invoice'!B147</f>
        <v>0</v>
      </c>
      <c r="C149" s="94" t="e">
        <f>'Customs Invoice'!C147</f>
        <v>#N/A</v>
      </c>
      <c r="D149" s="47" t="e">
        <f>'Customs Invoice'!D147</f>
        <v>#N/A</v>
      </c>
      <c r="E149" s="48" t="e">
        <f>'Customs Invoice'!E147</f>
        <v>#N/A</v>
      </c>
      <c r="F149" s="48"/>
      <c r="G149" s="49">
        <f>'Customs Invoice'!G147</f>
        <v>0</v>
      </c>
      <c r="H149" s="50" t="e">
        <f>'Customs Invoice'!H147</f>
        <v>#N/A</v>
      </c>
      <c r="I149" s="68">
        <f>'Customs Invoice'!I147</f>
        <v>0</v>
      </c>
      <c r="J149" s="95">
        <f>'Customs Invoice'!J147</f>
        <v>0</v>
      </c>
      <c r="K149" s="425"/>
      <c r="L149" s="426"/>
      <c r="M149" s="427"/>
      <c r="N149" s="66"/>
      <c r="O149" s="58"/>
    </row>
    <row r="150" spans="1:15" s="6" customFormat="1" ht="18" hidden="1" customHeight="1">
      <c r="A150" s="30"/>
      <c r="B150" s="46">
        <f>'Customs Invoice'!B148</f>
        <v>0</v>
      </c>
      <c r="C150" s="94" t="e">
        <f>'Customs Invoice'!C148</f>
        <v>#N/A</v>
      </c>
      <c r="D150" s="47" t="e">
        <f>'Customs Invoice'!D148</f>
        <v>#N/A</v>
      </c>
      <c r="E150" s="48" t="e">
        <f>'Customs Invoice'!E148</f>
        <v>#N/A</v>
      </c>
      <c r="F150" s="48"/>
      <c r="G150" s="49">
        <f>'Customs Invoice'!G148</f>
        <v>0</v>
      </c>
      <c r="H150" s="50" t="e">
        <f>'Customs Invoice'!H148</f>
        <v>#N/A</v>
      </c>
      <c r="I150" s="68">
        <f>'Customs Invoice'!I148</f>
        <v>0</v>
      </c>
      <c r="J150" s="95">
        <f>'Customs Invoice'!J148</f>
        <v>0</v>
      </c>
      <c r="K150" s="425"/>
      <c r="L150" s="426"/>
      <c r="M150" s="427"/>
      <c r="N150" s="66"/>
      <c r="O150" s="58"/>
    </row>
    <row r="151" spans="1:15" s="6" customFormat="1" ht="18" hidden="1" customHeight="1">
      <c r="A151" s="30"/>
      <c r="B151" s="46">
        <f>'Customs Invoice'!B149</f>
        <v>0</v>
      </c>
      <c r="C151" s="94" t="e">
        <f>'Customs Invoice'!C149</f>
        <v>#N/A</v>
      </c>
      <c r="D151" s="47" t="e">
        <f>'Customs Invoice'!D149</f>
        <v>#N/A</v>
      </c>
      <c r="E151" s="48" t="e">
        <f>'Customs Invoice'!E149</f>
        <v>#N/A</v>
      </c>
      <c r="F151" s="48"/>
      <c r="G151" s="49">
        <f>'Customs Invoice'!G149</f>
        <v>0</v>
      </c>
      <c r="H151" s="50" t="e">
        <f>'Customs Invoice'!H149</f>
        <v>#N/A</v>
      </c>
      <c r="I151" s="68">
        <f>'Customs Invoice'!I149</f>
        <v>0</v>
      </c>
      <c r="J151" s="95">
        <f>'Customs Invoice'!J149</f>
        <v>0</v>
      </c>
      <c r="K151" s="425"/>
      <c r="L151" s="426"/>
      <c r="M151" s="427"/>
      <c r="N151" s="66"/>
      <c r="O151" s="58"/>
    </row>
    <row r="152" spans="1:15" s="6" customFormat="1" ht="18" hidden="1" customHeight="1">
      <c r="A152" s="30"/>
      <c r="B152" s="46">
        <f>'Customs Invoice'!B150</f>
        <v>0</v>
      </c>
      <c r="C152" s="94" t="e">
        <f>'Customs Invoice'!C150</f>
        <v>#N/A</v>
      </c>
      <c r="D152" s="47" t="e">
        <f>'Customs Invoice'!D150</f>
        <v>#N/A</v>
      </c>
      <c r="E152" s="48" t="e">
        <f>'Customs Invoice'!E150</f>
        <v>#N/A</v>
      </c>
      <c r="F152" s="48"/>
      <c r="G152" s="49">
        <f>'Customs Invoice'!G150</f>
        <v>0</v>
      </c>
      <c r="H152" s="50" t="e">
        <f>'Customs Invoice'!H150</f>
        <v>#N/A</v>
      </c>
      <c r="I152" s="68">
        <f>'Customs Invoice'!I150</f>
        <v>0</v>
      </c>
      <c r="J152" s="95">
        <f>'Customs Invoice'!J150</f>
        <v>0</v>
      </c>
      <c r="K152" s="425"/>
      <c r="L152" s="426"/>
      <c r="M152" s="427"/>
      <c r="N152" s="66"/>
      <c r="O152" s="58"/>
    </row>
    <row r="153" spans="1:15" s="6" customFormat="1" ht="18" hidden="1" customHeight="1">
      <c r="A153" s="30"/>
      <c r="B153" s="46">
        <f>'Customs Invoice'!B151</f>
        <v>0</v>
      </c>
      <c r="C153" s="94" t="e">
        <f>'Customs Invoice'!C151</f>
        <v>#N/A</v>
      </c>
      <c r="D153" s="47" t="e">
        <f>'Customs Invoice'!D151</f>
        <v>#N/A</v>
      </c>
      <c r="E153" s="48" t="e">
        <f>'Customs Invoice'!E151</f>
        <v>#N/A</v>
      </c>
      <c r="F153" s="48"/>
      <c r="G153" s="49">
        <f>'Customs Invoice'!G151</f>
        <v>0</v>
      </c>
      <c r="H153" s="50" t="e">
        <f>'Customs Invoice'!H151</f>
        <v>#N/A</v>
      </c>
      <c r="I153" s="68">
        <f>'Customs Invoice'!I151</f>
        <v>0</v>
      </c>
      <c r="J153" s="95">
        <f>'Customs Invoice'!J151</f>
        <v>0</v>
      </c>
      <c r="K153" s="425"/>
      <c r="L153" s="426"/>
      <c r="M153" s="427"/>
      <c r="N153" s="66"/>
      <c r="O153" s="58"/>
    </row>
    <row r="154" spans="1:15" s="6" customFormat="1" ht="18" hidden="1" customHeight="1">
      <c r="A154" s="30"/>
      <c r="B154" s="46">
        <f>'Customs Invoice'!B152</f>
        <v>0</v>
      </c>
      <c r="C154" s="94" t="e">
        <f>'Customs Invoice'!C152</f>
        <v>#N/A</v>
      </c>
      <c r="D154" s="47" t="e">
        <f>'Customs Invoice'!D152</f>
        <v>#N/A</v>
      </c>
      <c r="E154" s="48" t="e">
        <f>'Customs Invoice'!E152</f>
        <v>#N/A</v>
      </c>
      <c r="F154" s="48"/>
      <c r="G154" s="49">
        <f>'Customs Invoice'!G152</f>
        <v>0</v>
      </c>
      <c r="H154" s="50" t="e">
        <f>'Customs Invoice'!H152</f>
        <v>#N/A</v>
      </c>
      <c r="I154" s="68">
        <f>'Customs Invoice'!I152</f>
        <v>0</v>
      </c>
      <c r="J154" s="95">
        <f>'Customs Invoice'!J152</f>
        <v>0</v>
      </c>
      <c r="K154" s="425"/>
      <c r="L154" s="426"/>
      <c r="M154" s="427"/>
      <c r="N154" s="66"/>
      <c r="O154" s="58"/>
    </row>
    <row r="155" spans="1:15" s="6" customFormat="1" ht="18" hidden="1" customHeight="1">
      <c r="A155" s="30"/>
      <c r="B155" s="46">
        <f>'Customs Invoice'!B153</f>
        <v>0</v>
      </c>
      <c r="C155" s="94" t="e">
        <f>'Customs Invoice'!C153</f>
        <v>#N/A</v>
      </c>
      <c r="D155" s="47" t="e">
        <f>'Customs Invoice'!D153</f>
        <v>#N/A</v>
      </c>
      <c r="E155" s="48" t="e">
        <f>'Customs Invoice'!E153</f>
        <v>#N/A</v>
      </c>
      <c r="F155" s="48"/>
      <c r="G155" s="49">
        <f>'Customs Invoice'!G153</f>
        <v>0</v>
      </c>
      <c r="H155" s="50" t="e">
        <f>'Customs Invoice'!H153</f>
        <v>#N/A</v>
      </c>
      <c r="I155" s="68">
        <f>'Customs Invoice'!I153</f>
        <v>0</v>
      </c>
      <c r="J155" s="95">
        <f>'Customs Invoice'!J153</f>
        <v>0</v>
      </c>
      <c r="K155" s="425"/>
      <c r="L155" s="426"/>
      <c r="M155" s="427"/>
      <c r="N155" s="66"/>
      <c r="O155" s="58"/>
    </row>
    <row r="156" spans="1:15" s="6" customFormat="1" ht="18" hidden="1" customHeight="1">
      <c r="A156" s="30"/>
      <c r="B156" s="46">
        <f>'Customs Invoice'!B154</f>
        <v>0</v>
      </c>
      <c r="C156" s="94" t="e">
        <f>'Customs Invoice'!C154</f>
        <v>#N/A</v>
      </c>
      <c r="D156" s="47" t="e">
        <f>'Customs Invoice'!D154</f>
        <v>#N/A</v>
      </c>
      <c r="E156" s="48" t="e">
        <f>'Customs Invoice'!E154</f>
        <v>#N/A</v>
      </c>
      <c r="F156" s="48"/>
      <c r="G156" s="49">
        <f>'Customs Invoice'!G154</f>
        <v>0</v>
      </c>
      <c r="H156" s="50" t="e">
        <f>'Customs Invoice'!H154</f>
        <v>#N/A</v>
      </c>
      <c r="I156" s="68">
        <f>'Customs Invoice'!I154</f>
        <v>0</v>
      </c>
      <c r="J156" s="95">
        <f>'Customs Invoice'!J154</f>
        <v>0</v>
      </c>
      <c r="K156" s="425"/>
      <c r="L156" s="426"/>
      <c r="M156" s="427"/>
      <c r="N156" s="66"/>
      <c r="O156" s="58"/>
    </row>
    <row r="157" spans="1:15" s="6" customFormat="1" ht="18" hidden="1" customHeight="1">
      <c r="A157" s="30"/>
      <c r="B157" s="46">
        <f>'Customs Invoice'!B155</f>
        <v>0</v>
      </c>
      <c r="C157" s="94" t="e">
        <f>'Customs Invoice'!C155</f>
        <v>#N/A</v>
      </c>
      <c r="D157" s="47" t="e">
        <f>'Customs Invoice'!D155</f>
        <v>#N/A</v>
      </c>
      <c r="E157" s="48" t="e">
        <f>'Customs Invoice'!E155</f>
        <v>#N/A</v>
      </c>
      <c r="F157" s="48"/>
      <c r="G157" s="49">
        <f>'Customs Invoice'!G155</f>
        <v>0</v>
      </c>
      <c r="H157" s="50" t="e">
        <f>'Customs Invoice'!H155</f>
        <v>#N/A</v>
      </c>
      <c r="I157" s="68">
        <f>'Customs Invoice'!I155</f>
        <v>0</v>
      </c>
      <c r="J157" s="95">
        <f>'Customs Invoice'!J155</f>
        <v>0</v>
      </c>
      <c r="K157" s="425"/>
      <c r="L157" s="426"/>
      <c r="M157" s="427"/>
      <c r="N157" s="66"/>
      <c r="O157" s="58"/>
    </row>
    <row r="158" spans="1:15" s="6" customFormat="1" ht="18" hidden="1" customHeight="1">
      <c r="A158" s="30"/>
      <c r="B158" s="46">
        <f>'Customs Invoice'!B156</f>
        <v>0</v>
      </c>
      <c r="C158" s="94" t="e">
        <f>'Customs Invoice'!C156</f>
        <v>#N/A</v>
      </c>
      <c r="D158" s="47" t="e">
        <f>'Customs Invoice'!D156</f>
        <v>#N/A</v>
      </c>
      <c r="E158" s="48" t="e">
        <f>'Customs Invoice'!E156</f>
        <v>#N/A</v>
      </c>
      <c r="F158" s="48"/>
      <c r="G158" s="49">
        <f>'Customs Invoice'!G156</f>
        <v>0</v>
      </c>
      <c r="H158" s="50" t="e">
        <f>'Customs Invoice'!H156</f>
        <v>#N/A</v>
      </c>
      <c r="I158" s="68">
        <f>'Customs Invoice'!I156</f>
        <v>0</v>
      </c>
      <c r="J158" s="95">
        <f>'Customs Invoice'!J156</f>
        <v>0</v>
      </c>
      <c r="K158" s="425"/>
      <c r="L158" s="426"/>
      <c r="M158" s="427"/>
      <c r="N158" s="66"/>
      <c r="O158" s="58"/>
    </row>
    <row r="159" spans="1:15" s="6" customFormat="1" ht="18" hidden="1" customHeight="1">
      <c r="A159" s="30"/>
      <c r="B159" s="46">
        <f>'Customs Invoice'!B157</f>
        <v>0</v>
      </c>
      <c r="C159" s="94" t="e">
        <f>'Customs Invoice'!C157</f>
        <v>#N/A</v>
      </c>
      <c r="D159" s="47" t="e">
        <f>'Customs Invoice'!D157</f>
        <v>#N/A</v>
      </c>
      <c r="E159" s="48" t="e">
        <f>'Customs Invoice'!E157</f>
        <v>#N/A</v>
      </c>
      <c r="F159" s="48"/>
      <c r="G159" s="49">
        <f>'Customs Invoice'!G157</f>
        <v>0</v>
      </c>
      <c r="H159" s="50" t="e">
        <f>'Customs Invoice'!H157</f>
        <v>#N/A</v>
      </c>
      <c r="I159" s="68">
        <f>'Customs Invoice'!I157</f>
        <v>0</v>
      </c>
      <c r="J159" s="95">
        <f>'Customs Invoice'!J157</f>
        <v>0</v>
      </c>
      <c r="K159" s="425"/>
      <c r="L159" s="426"/>
      <c r="M159" s="427"/>
      <c r="N159" s="66"/>
      <c r="O159" s="58"/>
    </row>
    <row r="160" spans="1:15" s="6" customFormat="1" ht="18" hidden="1" customHeight="1">
      <c r="A160" s="30"/>
      <c r="B160" s="46">
        <f>'Customs Invoice'!B158</f>
        <v>0</v>
      </c>
      <c r="C160" s="94" t="e">
        <f>'Customs Invoice'!C158</f>
        <v>#N/A</v>
      </c>
      <c r="D160" s="47" t="e">
        <f>'Customs Invoice'!D158</f>
        <v>#N/A</v>
      </c>
      <c r="E160" s="48" t="e">
        <f>'Customs Invoice'!E158</f>
        <v>#N/A</v>
      </c>
      <c r="F160" s="48"/>
      <c r="G160" s="49">
        <f>'Customs Invoice'!G158</f>
        <v>0</v>
      </c>
      <c r="H160" s="50" t="e">
        <f>'Customs Invoice'!H158</f>
        <v>#N/A</v>
      </c>
      <c r="I160" s="68">
        <f>'Customs Invoice'!I158</f>
        <v>0</v>
      </c>
      <c r="J160" s="95">
        <f>'Customs Invoice'!J158</f>
        <v>0</v>
      </c>
      <c r="K160" s="425"/>
      <c r="L160" s="426"/>
      <c r="M160" s="427"/>
      <c r="N160" s="66"/>
      <c r="O160" s="58"/>
    </row>
    <row r="161" spans="1:15" s="6" customFormat="1" ht="18" hidden="1" customHeight="1">
      <c r="A161" s="30"/>
      <c r="B161" s="46">
        <f>'Customs Invoice'!B159</f>
        <v>0</v>
      </c>
      <c r="C161" s="94" t="e">
        <f>'Customs Invoice'!C159</f>
        <v>#N/A</v>
      </c>
      <c r="D161" s="47" t="e">
        <f>'Customs Invoice'!D159</f>
        <v>#N/A</v>
      </c>
      <c r="E161" s="48" t="e">
        <f>'Customs Invoice'!E159</f>
        <v>#N/A</v>
      </c>
      <c r="F161" s="48"/>
      <c r="G161" s="49">
        <f>'Customs Invoice'!G159</f>
        <v>0</v>
      </c>
      <c r="H161" s="50" t="e">
        <f>'Customs Invoice'!H159</f>
        <v>#N/A</v>
      </c>
      <c r="I161" s="68">
        <f>'Customs Invoice'!I159</f>
        <v>0</v>
      </c>
      <c r="J161" s="95">
        <f>'Customs Invoice'!J159</f>
        <v>0</v>
      </c>
      <c r="K161" s="425"/>
      <c r="L161" s="426"/>
      <c r="M161" s="427"/>
      <c r="N161" s="66"/>
      <c r="O161" s="58"/>
    </row>
    <row r="162" spans="1:15" s="6" customFormat="1" ht="18" hidden="1" customHeight="1">
      <c r="A162" s="30"/>
      <c r="B162" s="46">
        <f>'Customs Invoice'!B160</f>
        <v>0</v>
      </c>
      <c r="C162" s="94" t="e">
        <f>'Customs Invoice'!C160</f>
        <v>#N/A</v>
      </c>
      <c r="D162" s="47" t="e">
        <f>'Customs Invoice'!D160</f>
        <v>#N/A</v>
      </c>
      <c r="E162" s="48" t="e">
        <f>'Customs Invoice'!E160</f>
        <v>#N/A</v>
      </c>
      <c r="F162" s="48"/>
      <c r="G162" s="49">
        <f>'Customs Invoice'!G160</f>
        <v>0</v>
      </c>
      <c r="H162" s="50" t="e">
        <f>'Customs Invoice'!H160</f>
        <v>#N/A</v>
      </c>
      <c r="I162" s="68">
        <f>'Customs Invoice'!I160</f>
        <v>0</v>
      </c>
      <c r="J162" s="95">
        <f>'Customs Invoice'!J160</f>
        <v>0</v>
      </c>
      <c r="K162" s="428"/>
      <c r="L162" s="429"/>
      <c r="M162" s="430"/>
      <c r="N162" s="66"/>
      <c r="O162" s="58"/>
    </row>
    <row r="163" spans="1:15" s="6" customFormat="1" ht="22.5" hidden="1" customHeight="1" thickBot="1">
      <c r="A163" s="30"/>
      <c r="B163" s="51"/>
      <c r="C163" s="99"/>
      <c r="D163" s="52"/>
      <c r="E163" s="53" t="s">
        <v>38</v>
      </c>
      <c r="F163" s="53"/>
      <c r="G163" s="54">
        <f t="shared" ref="G163" si="5">SUM(G143:G162)</f>
        <v>0</v>
      </c>
      <c r="H163" s="55"/>
      <c r="I163" s="71">
        <f t="shared" ref="I163:J163" si="6">SUM(I143:I162)</f>
        <v>0</v>
      </c>
      <c r="J163" s="72">
        <f t="shared" si="6"/>
        <v>0</v>
      </c>
      <c r="K163" s="431">
        <f>SUM(K143)</f>
        <v>1</v>
      </c>
      <c r="L163" s="431"/>
      <c r="M163" s="432"/>
      <c r="N163" s="66"/>
      <c r="O163" s="58"/>
    </row>
    <row r="164" spans="1:15" s="6" customFormat="1" ht="15.5">
      <c r="A164" s="30"/>
      <c r="B164" s="105"/>
      <c r="C164" s="106"/>
      <c r="D164" s="105"/>
      <c r="E164" s="76"/>
      <c r="F164" s="76"/>
      <c r="G164" s="87"/>
      <c r="H164" s="88"/>
      <c r="I164" s="82"/>
      <c r="J164" s="82"/>
      <c r="K164" s="107"/>
      <c r="L164" s="107"/>
      <c r="M164" s="107"/>
      <c r="N164" s="66"/>
      <c r="O164" s="58"/>
    </row>
    <row r="165" spans="1:15" s="6" customFormat="1" ht="27" customHeight="1" thickBot="1">
      <c r="A165" s="30"/>
      <c r="B165" s="21"/>
      <c r="C165" s="106"/>
      <c r="D165" s="21"/>
      <c r="E165" s="108"/>
      <c r="F165" s="108"/>
      <c r="G165" s="415" t="s">
        <v>44</v>
      </c>
      <c r="H165" s="415"/>
      <c r="I165" s="76" t="s">
        <v>33</v>
      </c>
      <c r="J165" s="76" t="s">
        <v>34</v>
      </c>
      <c r="K165" s="433" t="s">
        <v>53</v>
      </c>
      <c r="L165" s="433"/>
      <c r="M165" s="433"/>
      <c r="N165" s="66"/>
      <c r="O165" s="58"/>
    </row>
    <row r="166" spans="1:15" s="6" customFormat="1" ht="23.25" customHeight="1" thickBot="1">
      <c r="A166" s="21"/>
      <c r="B166" s="12"/>
      <c r="C166" s="110"/>
      <c r="D166" s="12"/>
      <c r="E166" s="222" t="s">
        <v>47</v>
      </c>
      <c r="F166" s="111"/>
      <c r="G166" s="410">
        <f>G41+G65+G91+G115+G139+G163</f>
        <v>0</v>
      </c>
      <c r="H166" s="411"/>
      <c r="I166" s="77">
        <f>I41+I65+I91+I115+I139+I163</f>
        <v>0</v>
      </c>
      <c r="J166" s="77" t="e">
        <f>J41+J65+J91+J115+J139+J163</f>
        <v>#DIV/0!</v>
      </c>
      <c r="K166" s="434">
        <f>K41</f>
        <v>1</v>
      </c>
      <c r="L166" s="435"/>
      <c r="M166" s="436"/>
      <c r="N166" s="66"/>
      <c r="O166" s="58"/>
    </row>
    <row r="167" spans="1:15" s="6" customFormat="1" ht="15.5">
      <c r="A167" s="89"/>
      <c r="B167" s="12"/>
      <c r="C167" s="12"/>
      <c r="D167" s="12"/>
      <c r="E167" s="75"/>
      <c r="F167" s="75"/>
      <c r="G167" s="76"/>
      <c r="H167" s="76"/>
      <c r="I167" s="78"/>
      <c r="J167" s="79"/>
      <c r="K167" s="80"/>
      <c r="L167" s="80"/>
      <c r="M167" s="81"/>
      <c r="N167" s="66"/>
      <c r="O167" s="58"/>
    </row>
    <row r="168" spans="1:15" s="6" customFormat="1" ht="15">
      <c r="A168"/>
      <c r="B168"/>
      <c r="C168"/>
      <c r="D168"/>
      <c r="E168"/>
      <c r="F168"/>
      <c r="G168"/>
      <c r="H168"/>
      <c r="I168"/>
      <c r="J168" s="82"/>
      <c r="K168" s="82"/>
      <c r="L168" s="82"/>
      <c r="M168" s="83"/>
      <c r="N168" s="66"/>
      <c r="O168" s="58"/>
    </row>
    <row r="169" spans="1:15" s="6" customFormat="1" ht="15.5">
      <c r="A169"/>
      <c r="B169"/>
      <c r="C169"/>
      <c r="D169"/>
      <c r="E169"/>
      <c r="F169"/>
      <c r="G169"/>
      <c r="H169"/>
      <c r="I169"/>
      <c r="J169" s="84"/>
      <c r="L169" s="112" t="s">
        <v>49</v>
      </c>
      <c r="M169" s="74"/>
      <c r="N169" s="66"/>
      <c r="O169" s="58"/>
    </row>
    <row r="170" spans="1:15" s="6" customFormat="1" ht="15.5">
      <c r="A170"/>
      <c r="B170"/>
      <c r="C170"/>
      <c r="D170"/>
      <c r="E170"/>
      <c r="F170"/>
      <c r="G170"/>
      <c r="H170"/>
      <c r="I170"/>
      <c r="J170" s="84"/>
      <c r="L170" s="112"/>
      <c r="M170" s="74"/>
      <c r="N170" s="66"/>
      <c r="O170" s="58"/>
    </row>
    <row r="171" spans="1:15" s="6" customFormat="1" ht="15.5">
      <c r="A171"/>
      <c r="B171"/>
      <c r="C171"/>
      <c r="D171"/>
      <c r="E171"/>
      <c r="F171"/>
      <c r="G171"/>
      <c r="H171"/>
      <c r="I171"/>
      <c r="J171" s="84"/>
      <c r="L171" s="112"/>
      <c r="M171" s="74"/>
      <c r="N171" s="66"/>
      <c r="O171" s="58"/>
    </row>
    <row r="172" spans="1:15" s="6" customFormat="1" ht="15">
      <c r="A172"/>
      <c r="B172"/>
      <c r="C172"/>
      <c r="D172"/>
      <c r="E172"/>
      <c r="F172"/>
      <c r="G172"/>
      <c r="H172"/>
      <c r="I172"/>
      <c r="J172" s="21"/>
      <c r="L172" s="85" t="s">
        <v>50</v>
      </c>
      <c r="M172" s="113"/>
      <c r="N172" s="66"/>
      <c r="O172" s="58"/>
    </row>
    <row r="173" spans="1:15" ht="15.75" customHeight="1"/>
    <row r="174" spans="1:15" ht="15.75" customHeight="1"/>
    <row r="175" spans="1:15" ht="15.75" customHeight="1"/>
    <row r="176" spans="1:15" ht="15.75" customHeight="1"/>
  </sheetData>
  <mergeCells count="33">
    <mergeCell ref="G41:H41"/>
    <mergeCell ref="A1:M1"/>
    <mergeCell ref="A2:M2"/>
    <mergeCell ref="A3:M3"/>
    <mergeCell ref="G20:H20"/>
    <mergeCell ref="K20:M20"/>
    <mergeCell ref="M6:M9"/>
    <mergeCell ref="K21:M40"/>
    <mergeCell ref="G44:H44"/>
    <mergeCell ref="K44:M44"/>
    <mergeCell ref="K65:M65"/>
    <mergeCell ref="G70:H70"/>
    <mergeCell ref="K70:M70"/>
    <mergeCell ref="K45:M64"/>
    <mergeCell ref="G94:H94"/>
    <mergeCell ref="K94:M94"/>
    <mergeCell ref="K115:M115"/>
    <mergeCell ref="G118:H118"/>
    <mergeCell ref="K118:M118"/>
    <mergeCell ref="K139:M139"/>
    <mergeCell ref="G165:H165"/>
    <mergeCell ref="K165:M165"/>
    <mergeCell ref="G166:H166"/>
    <mergeCell ref="K166:M166"/>
    <mergeCell ref="G142:H142"/>
    <mergeCell ref="K142:M142"/>
    <mergeCell ref="K143:M162"/>
    <mergeCell ref="K163:M163"/>
    <mergeCell ref="K71:M90"/>
    <mergeCell ref="K95:M114"/>
    <mergeCell ref="K119:M138"/>
    <mergeCell ref="K91:M91"/>
    <mergeCell ref="K41:M41"/>
  </mergeCells>
  <pageMargins left="0.16111111111111101" right="0.27152777777777798" top="9.7916666666666693E-2" bottom="9.7916666666666693E-2" header="0.16111111111111101" footer="0.16111111111111101"/>
  <pageSetup paperSize="9" scale="65" orientation="landscape" r:id="rId1"/>
  <headerFooter scaleWithDoc="0" alignWithMargins="0">
    <evenHeader>&amp;R&amp;9IV1910171019-0 page 2</evenHeader>
  </headerFooter>
  <colBreaks count="1" manualBreakCount="1">
    <brk id="13" max="169" man="1"/>
  </colBreaks>
  <ignoredErrors>
    <ignoredError xmlns:x16r3="http://schemas.microsoft.com/office/spreadsheetml/2018/08/main" sqref="L4" x16r3:misleadingForma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018B-5BCB-4A2D-A889-2D2D533A997E}">
  <dimension ref="A1:N179"/>
  <sheetViews>
    <sheetView zoomScale="85" zoomScaleNormal="85" zoomScaleSheetLayoutView="55" workbookViewId="0">
      <selection activeCell="B21" sqref="B21:B22"/>
    </sheetView>
  </sheetViews>
  <sheetFormatPr defaultColWidth="9" defaultRowHeight="10.5" customHeight="1"/>
  <cols>
    <col min="1" max="1" width="13.33203125" style="133" customWidth="1"/>
    <col min="2" max="2" width="12.5" style="133" customWidth="1"/>
    <col min="3" max="3" width="20.58203125" style="133" customWidth="1"/>
    <col min="4" max="4" width="21.58203125" style="133" customWidth="1"/>
    <col min="5" max="5" width="25.33203125" style="133" customWidth="1"/>
    <col min="6" max="6" width="12.75" style="133" hidden="1" customWidth="1"/>
    <col min="7" max="8" width="6.08203125" style="133" customWidth="1"/>
    <col min="9" max="9" width="18.4140625" style="133" customWidth="1"/>
    <col min="10" max="10" width="18.4140625" style="136" customWidth="1"/>
    <col min="11" max="12" width="23.08203125" style="133" customWidth="1"/>
    <col min="13" max="13" width="17.6640625" style="132" customWidth="1"/>
    <col min="14" max="14" width="14.75" style="133" customWidth="1"/>
    <col min="15" max="15" width="20.08203125" style="133" customWidth="1"/>
    <col min="16" max="16" width="23" style="133" customWidth="1"/>
    <col min="17" max="16384" width="9" style="133"/>
  </cols>
  <sheetData>
    <row r="1" spans="1:14" s="131" customFormat="1" ht="24.75" customHeight="1">
      <c r="A1" s="441" t="s">
        <v>0</v>
      </c>
      <c r="B1" s="441"/>
      <c r="C1" s="441"/>
      <c r="D1" s="441"/>
      <c r="E1" s="441"/>
      <c r="F1" s="442"/>
      <c r="G1" s="441"/>
      <c r="H1" s="441"/>
      <c r="I1" s="441"/>
      <c r="J1" s="441"/>
      <c r="K1" s="441"/>
      <c r="L1" s="441"/>
      <c r="M1" s="139"/>
      <c r="N1" s="140"/>
    </row>
    <row r="2" spans="1:14" ht="15.75" customHeight="1">
      <c r="A2" s="443" t="s">
        <v>1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141"/>
      <c r="N2" s="142"/>
    </row>
    <row r="3" spans="1:14" s="134" customFormat="1" ht="15.75" customHeight="1">
      <c r="A3" s="444" t="s">
        <v>2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143"/>
      <c r="N3" s="144"/>
    </row>
    <row r="4" spans="1:14" s="135" customFormat="1" ht="12" customHeight="1">
      <c r="A4" s="145" t="s">
        <v>3</v>
      </c>
      <c r="B4" s="146" t="s">
        <v>4</v>
      </c>
      <c r="C4" s="146"/>
      <c r="D4" s="147"/>
      <c r="E4" s="147"/>
      <c r="F4" s="147"/>
      <c r="G4" s="147"/>
      <c r="H4" s="148"/>
      <c r="I4" s="149" t="s">
        <v>5</v>
      </c>
      <c r="J4" s="162">
        <f>'Customs Invoice'!K4</f>
        <v>0</v>
      </c>
      <c r="K4" s="162">
        <f>'Customs Invoice'!L4</f>
        <v>0</v>
      </c>
      <c r="L4" s="151"/>
      <c r="M4" s="153"/>
    </row>
    <row r="5" spans="1:14" s="135" customFormat="1" ht="12" customHeight="1">
      <c r="A5" s="154"/>
      <c r="B5" s="155" t="s">
        <v>6</v>
      </c>
      <c r="C5" s="155"/>
      <c r="D5" s="155"/>
      <c r="E5" s="155"/>
      <c r="F5" s="155"/>
      <c r="G5" s="155"/>
      <c r="H5" s="156"/>
      <c r="I5" s="149" t="s">
        <v>7</v>
      </c>
      <c r="J5" s="150"/>
      <c r="K5" s="150"/>
      <c r="L5" s="151"/>
      <c r="M5" s="153"/>
    </row>
    <row r="6" spans="1:14" s="135" customFormat="1" ht="12" customHeight="1">
      <c r="A6" s="154"/>
      <c r="B6" s="155" t="s">
        <v>8</v>
      </c>
      <c r="C6" s="155"/>
      <c r="D6" s="155"/>
      <c r="E6" s="155"/>
      <c r="F6" s="155"/>
      <c r="G6" s="155"/>
      <c r="H6" s="156"/>
      <c r="I6" s="154" t="str">
        <f>'Customs Invoice'!I6</f>
        <v>BILL TO :</v>
      </c>
      <c r="J6" s="15">
        <f>'Customs Invoice'!K6</f>
        <v>0</v>
      </c>
      <c r="K6" s="147"/>
      <c r="L6" s="460" t="s">
        <v>118</v>
      </c>
      <c r="M6" s="153"/>
    </row>
    <row r="7" spans="1:14" s="135" customFormat="1" ht="12" customHeight="1">
      <c r="A7" s="154"/>
      <c r="B7" s="155" t="s">
        <v>9</v>
      </c>
      <c r="C7" s="155"/>
      <c r="D7" s="155"/>
      <c r="E7" s="155"/>
      <c r="F7" s="155"/>
      <c r="G7" s="155"/>
      <c r="H7" s="156"/>
      <c r="I7" s="154"/>
      <c r="J7" s="214">
        <f>'Customs Invoice'!K7</f>
        <v>0</v>
      </c>
      <c r="K7" s="218"/>
      <c r="L7" s="461"/>
      <c r="M7" s="153"/>
    </row>
    <row r="8" spans="1:14" s="135" customFormat="1" ht="12" customHeight="1">
      <c r="A8" s="158"/>
      <c r="B8" s="159" t="s">
        <v>10</v>
      </c>
      <c r="C8" s="159"/>
      <c r="D8" s="159"/>
      <c r="E8" s="159"/>
      <c r="F8" s="159"/>
      <c r="G8" s="159"/>
      <c r="H8" s="160"/>
      <c r="I8" s="154"/>
      <c r="J8" s="214">
        <f>'Customs Invoice'!K8</f>
        <v>0</v>
      </c>
      <c r="K8" s="218"/>
      <c r="L8" s="461"/>
      <c r="M8" s="153"/>
    </row>
    <row r="9" spans="1:14" s="135" customFormat="1" ht="12" customHeight="1">
      <c r="A9" s="145" t="s">
        <v>11</v>
      </c>
      <c r="B9" s="146">
        <f>'Customs Invoice'!B9</f>
        <v>0</v>
      </c>
      <c r="C9" s="146"/>
      <c r="D9" s="157"/>
      <c r="E9" s="157"/>
      <c r="F9" s="157"/>
      <c r="G9" s="157"/>
      <c r="H9" s="148"/>
      <c r="I9" s="154"/>
      <c r="J9" s="214">
        <f>'Customs Invoice'!K9</f>
        <v>0</v>
      </c>
      <c r="K9" s="218"/>
      <c r="L9" s="461"/>
      <c r="M9" s="153"/>
    </row>
    <row r="10" spans="1:14" s="135" customFormat="1" ht="12" customHeight="1">
      <c r="A10" s="154"/>
      <c r="B10" s="161">
        <f>'Customs Invoice'!B10</f>
        <v>0</v>
      </c>
      <c r="C10" s="155"/>
      <c r="D10" s="161"/>
      <c r="E10" s="161"/>
      <c r="F10" s="161"/>
      <c r="G10" s="161"/>
      <c r="H10" s="156"/>
      <c r="I10" s="154"/>
      <c r="J10" s="214">
        <f>'Customs Invoice'!K10</f>
        <v>0</v>
      </c>
      <c r="K10" s="218"/>
      <c r="L10" s="219"/>
      <c r="M10" s="153"/>
    </row>
    <row r="11" spans="1:14" s="135" customFormat="1" ht="12" customHeight="1">
      <c r="A11" s="154"/>
      <c r="B11" s="161">
        <f>'Customs Invoice'!B11</f>
        <v>0</v>
      </c>
      <c r="C11" s="155"/>
      <c r="D11" s="161"/>
      <c r="E11" s="161"/>
      <c r="F11" s="161"/>
      <c r="G11" s="161"/>
      <c r="H11" s="156"/>
      <c r="I11" s="154"/>
      <c r="J11" s="161">
        <f>'Customs Invoice'!K11</f>
        <v>0</v>
      </c>
      <c r="K11" s="159"/>
      <c r="L11" s="156"/>
      <c r="M11" s="153"/>
    </row>
    <row r="12" spans="1:14" s="135" customFormat="1" ht="12" customHeight="1">
      <c r="A12" s="154"/>
      <c r="B12" s="161">
        <f>'Customs Invoice'!B12</f>
        <v>0</v>
      </c>
      <c r="C12" s="155"/>
      <c r="D12" s="161"/>
      <c r="E12" s="161"/>
      <c r="F12" s="161"/>
      <c r="G12" s="161"/>
      <c r="H12" s="156"/>
      <c r="I12" s="149" t="s">
        <v>12</v>
      </c>
      <c r="J12" s="162"/>
      <c r="K12" s="150"/>
      <c r="L12" s="151"/>
      <c r="M12" s="153"/>
    </row>
    <row r="13" spans="1:14" s="135" customFormat="1" ht="12" customHeight="1">
      <c r="A13" s="154"/>
      <c r="B13" s="161">
        <f>'Customs Invoice'!B13</f>
        <v>0</v>
      </c>
      <c r="C13" s="155"/>
      <c r="D13" s="161"/>
      <c r="E13" s="161"/>
      <c r="F13" s="161"/>
      <c r="G13" s="161"/>
      <c r="H13" s="156"/>
      <c r="I13" s="145" t="s">
        <v>13</v>
      </c>
      <c r="J13" s="157" t="s">
        <v>14</v>
      </c>
      <c r="K13" s="147" t="s">
        <v>15</v>
      </c>
      <c r="L13" s="148"/>
      <c r="M13" s="153"/>
    </row>
    <row r="14" spans="1:14" s="135" customFormat="1" ht="12" customHeight="1">
      <c r="A14" s="158"/>
      <c r="B14" s="163">
        <f>'Customs Invoice'!B14</f>
        <v>0</v>
      </c>
      <c r="C14" s="163"/>
      <c r="D14" s="159"/>
      <c r="E14" s="159"/>
      <c r="F14" s="159"/>
      <c r="G14" s="159"/>
      <c r="H14" s="160"/>
      <c r="I14" s="154"/>
      <c r="J14" s="155" t="s">
        <v>16</v>
      </c>
      <c r="K14" s="155"/>
      <c r="L14" s="156"/>
      <c r="M14" s="153"/>
    </row>
    <row r="15" spans="1:14" s="135" customFormat="1" ht="12" customHeight="1">
      <c r="A15" s="164" t="s">
        <v>17</v>
      </c>
      <c r="B15" s="165">
        <f>'Customs Invoice'!B15</f>
        <v>0</v>
      </c>
      <c r="C15" s="166"/>
      <c r="D15" s="167" t="s">
        <v>18</v>
      </c>
      <c r="E15" s="167"/>
      <c r="F15" s="167"/>
      <c r="G15" s="167"/>
      <c r="H15" s="151"/>
      <c r="I15" s="154"/>
      <c r="J15" s="155" t="s">
        <v>19</v>
      </c>
      <c r="K15" s="220"/>
      <c r="L15" s="168"/>
      <c r="M15" s="153"/>
    </row>
    <row r="16" spans="1:14" s="135" customFormat="1" ht="12" customHeight="1">
      <c r="A16" s="149" t="s">
        <v>20</v>
      </c>
      <c r="B16" s="162">
        <f>'Customs Invoice'!B16</f>
        <v>0</v>
      </c>
      <c r="C16" s="169"/>
      <c r="D16" s="150" t="s">
        <v>21</v>
      </c>
      <c r="E16" s="150"/>
      <c r="F16" s="150"/>
      <c r="G16" s="150"/>
      <c r="H16" s="151"/>
      <c r="I16" s="158"/>
      <c r="J16" s="159" t="s">
        <v>22</v>
      </c>
      <c r="K16" s="221">
        <f>'Customs Invoice'!L16</f>
        <v>1</v>
      </c>
      <c r="L16" s="170"/>
      <c r="M16" s="153"/>
    </row>
    <row r="17" spans="1:14" s="135" customFormat="1" ht="12" customHeight="1">
      <c r="A17" s="171" t="str">
        <f>'Customs Invoice'!A17</f>
        <v>To  :</v>
      </c>
      <c r="B17" s="150"/>
      <c r="C17" s="150"/>
      <c r="D17" s="150"/>
      <c r="E17" s="150"/>
      <c r="F17" s="150"/>
      <c r="G17" s="150"/>
      <c r="H17" s="151"/>
      <c r="I17" s="149" t="s">
        <v>24</v>
      </c>
      <c r="J17" s="162" t="s">
        <v>25</v>
      </c>
      <c r="K17" s="150"/>
      <c r="L17" s="151"/>
      <c r="M17" s="153"/>
    </row>
    <row r="18" spans="1:14" s="135" customFormat="1" ht="15" customHeight="1">
      <c r="A18" s="172"/>
      <c r="B18" s="173" t="str">
        <f>CONCATENATE("PT Veronique to US_",LEFT('Customs Invoice'!K4,13)," Customs Invoice_New Merchandise")</f>
        <v>PT Veronique to US_ Customs Invoice_New Merchandise</v>
      </c>
      <c r="C18" s="173"/>
      <c r="D18" s="173"/>
      <c r="E18" s="173"/>
      <c r="F18" s="173"/>
      <c r="G18" s="173"/>
      <c r="H18" s="174"/>
      <c r="I18" s="175"/>
      <c r="J18" s="173"/>
      <c r="K18" s="175"/>
      <c r="L18" s="175"/>
      <c r="M18" s="152"/>
      <c r="N18" s="153"/>
    </row>
    <row r="19" spans="1:14" s="135" customFormat="1" ht="25.5" customHeight="1" thickBot="1">
      <c r="A19" s="175"/>
      <c r="B19" s="176" t="s">
        <v>26</v>
      </c>
      <c r="C19" s="102"/>
      <c r="D19" s="177"/>
      <c r="E19" s="173"/>
      <c r="F19" s="173"/>
      <c r="G19" s="173"/>
      <c r="H19" s="173"/>
      <c r="I19" s="117"/>
      <c r="J19" s="178"/>
      <c r="K19" s="179"/>
      <c r="L19" s="179"/>
      <c r="M19" s="152"/>
      <c r="N19" s="153"/>
    </row>
    <row r="20" spans="1:14" s="135" customFormat="1" ht="41" customHeight="1" thickBot="1">
      <c r="A20" s="180"/>
      <c r="B20" s="181" t="s">
        <v>27</v>
      </c>
      <c r="C20" s="182" t="s">
        <v>131</v>
      </c>
      <c r="D20" s="182" t="s">
        <v>132</v>
      </c>
      <c r="E20" s="183" t="s">
        <v>133</v>
      </c>
      <c r="F20" s="183" t="s">
        <v>31</v>
      </c>
      <c r="G20" s="445" t="s">
        <v>134</v>
      </c>
      <c r="H20" s="446"/>
      <c r="I20" s="183" t="s">
        <v>33</v>
      </c>
      <c r="J20" s="184" t="s">
        <v>34</v>
      </c>
      <c r="K20" s="186" t="s">
        <v>136</v>
      </c>
      <c r="L20" s="152"/>
      <c r="M20" s="153"/>
    </row>
    <row r="21" spans="1:14" s="135" customFormat="1" ht="18" customHeight="1">
      <c r="A21" s="175"/>
      <c r="B21" s="447">
        <f>'Customs Invoice'!B21</f>
        <v>1</v>
      </c>
      <c r="C21" s="449" t="e">
        <f>'Customs Invoice'!C21</f>
        <v>#N/A</v>
      </c>
      <c r="D21" s="138" t="e">
        <f>VLOOKUP(F21,Sheet2!$A$2:$D$31,4,0)</f>
        <v>#N/A</v>
      </c>
      <c r="E21" s="451" t="e">
        <f>'Customs Invoice'!E21</f>
        <v>#N/A</v>
      </c>
      <c r="F21" s="187">
        <f>'Customs Invoice'!F21</f>
        <v>0</v>
      </c>
      <c r="G21" s="452">
        <f>'Customs Invoice'!G21</f>
        <v>0</v>
      </c>
      <c r="H21" s="454" t="e">
        <f>'Customs Invoice'!H21</f>
        <v>#N/A</v>
      </c>
      <c r="I21" s="456">
        <f>'Customs Invoice'!I21</f>
        <v>0</v>
      </c>
      <c r="J21" s="456" t="e">
        <f>'Customs Invoice'!J21</f>
        <v>#DIV/0!</v>
      </c>
      <c r="K21" s="458">
        <f>'Customs Invoice'!P21</f>
        <v>0</v>
      </c>
      <c r="L21" s="152"/>
      <c r="M21" s="153"/>
    </row>
    <row r="22" spans="1:14" s="135" customFormat="1" ht="18" customHeight="1">
      <c r="A22" s="175"/>
      <c r="B22" s="448"/>
      <c r="C22" s="450"/>
      <c r="D22" s="137" t="e">
        <f>VLOOKUP(F22,Sheet2!$A$2:$D$31,4,0)</f>
        <v>#N/A</v>
      </c>
      <c r="E22" s="449"/>
      <c r="F22" s="188" t="str">
        <f>F21&amp;1</f>
        <v>01</v>
      </c>
      <c r="G22" s="453"/>
      <c r="H22" s="455"/>
      <c r="I22" s="457"/>
      <c r="J22" s="457"/>
      <c r="K22" s="459"/>
      <c r="L22" s="152"/>
      <c r="M22" s="153"/>
    </row>
    <row r="23" spans="1:14" s="135" customFormat="1" ht="18" customHeight="1">
      <c r="A23" s="175"/>
      <c r="B23" s="448">
        <f>'Customs Invoice'!B22</f>
        <v>2</v>
      </c>
      <c r="C23" s="449" t="e">
        <f>'Customs Invoice'!C22</f>
        <v>#N/A</v>
      </c>
      <c r="D23" s="137" t="e">
        <f>VLOOKUP(F23,Sheet2!$A$2:$D$31,4,0)</f>
        <v>#N/A</v>
      </c>
      <c r="E23" s="450" t="e">
        <f>'Customs Invoice'!E22</f>
        <v>#N/A</v>
      </c>
      <c r="F23" s="188">
        <f>'Customs Invoice'!F22</f>
        <v>0</v>
      </c>
      <c r="G23" s="462">
        <f>'Customs Invoice'!G22</f>
        <v>0</v>
      </c>
      <c r="H23" s="463" t="e">
        <f>'Customs Invoice'!H22</f>
        <v>#N/A</v>
      </c>
      <c r="I23" s="464">
        <f>'Customs Invoice'!I22</f>
        <v>0</v>
      </c>
      <c r="J23" s="464">
        <f>'Customs Invoice'!J22</f>
        <v>0</v>
      </c>
      <c r="K23" s="465">
        <f>'Customs Invoice'!P22</f>
        <v>0</v>
      </c>
      <c r="L23" s="152"/>
      <c r="M23" s="153"/>
    </row>
    <row r="24" spans="1:14" s="135" customFormat="1" ht="18" customHeight="1">
      <c r="A24" s="175"/>
      <c r="B24" s="448"/>
      <c r="C24" s="450"/>
      <c r="D24" s="137" t="e">
        <f>VLOOKUP(F24,Sheet2!$A$2:$D$31,4,0)</f>
        <v>#N/A</v>
      </c>
      <c r="E24" s="450"/>
      <c r="F24" s="188" t="str">
        <f>F23&amp;1</f>
        <v>01</v>
      </c>
      <c r="G24" s="462"/>
      <c r="H24" s="463"/>
      <c r="I24" s="464"/>
      <c r="J24" s="464"/>
      <c r="K24" s="465"/>
      <c r="L24" s="152"/>
      <c r="M24" s="153"/>
    </row>
    <row r="25" spans="1:14" s="135" customFormat="1" ht="18" customHeight="1">
      <c r="A25" s="175"/>
      <c r="B25" s="448">
        <f>'Customs Invoice'!B23</f>
        <v>3</v>
      </c>
      <c r="C25" s="449" t="e">
        <f>'Customs Invoice'!C23</f>
        <v>#N/A</v>
      </c>
      <c r="D25" s="137" t="e">
        <f>VLOOKUP(F25,Sheet2!$A$2:$D$31,4,0)</f>
        <v>#N/A</v>
      </c>
      <c r="E25" s="450" t="e">
        <f>'Customs Invoice'!E23</f>
        <v>#N/A</v>
      </c>
      <c r="F25" s="188">
        <f>'Customs Invoice'!F23</f>
        <v>0</v>
      </c>
      <c r="G25" s="462">
        <f>'Customs Invoice'!G23</f>
        <v>0</v>
      </c>
      <c r="H25" s="463" t="e">
        <f>'Customs Invoice'!H23</f>
        <v>#N/A</v>
      </c>
      <c r="I25" s="464">
        <f>'Customs Invoice'!I23</f>
        <v>0</v>
      </c>
      <c r="J25" s="464">
        <f>'Customs Invoice'!J23</f>
        <v>0</v>
      </c>
      <c r="K25" s="465">
        <f>'Customs Invoice'!P23</f>
        <v>0</v>
      </c>
      <c r="L25" s="152"/>
      <c r="M25" s="153"/>
    </row>
    <row r="26" spans="1:14" s="135" customFormat="1" ht="18" customHeight="1">
      <c r="A26" s="175"/>
      <c r="B26" s="448"/>
      <c r="C26" s="450"/>
      <c r="D26" s="137" t="e">
        <f>VLOOKUP(F26,Sheet2!$A$2:$D$31,4,0)</f>
        <v>#N/A</v>
      </c>
      <c r="E26" s="450"/>
      <c r="F26" s="188" t="str">
        <f>F25&amp;1</f>
        <v>01</v>
      </c>
      <c r="G26" s="462"/>
      <c r="H26" s="463"/>
      <c r="I26" s="464"/>
      <c r="J26" s="464"/>
      <c r="K26" s="465"/>
      <c r="L26" s="152"/>
      <c r="M26" s="153"/>
    </row>
    <row r="27" spans="1:14" s="135" customFormat="1" ht="18" customHeight="1">
      <c r="A27" s="175"/>
      <c r="B27" s="448">
        <f>'Customs Invoice'!B24</f>
        <v>4</v>
      </c>
      <c r="C27" s="449" t="e">
        <f>'Customs Invoice'!C24</f>
        <v>#N/A</v>
      </c>
      <c r="D27" s="137" t="e">
        <f>VLOOKUP(F27,Sheet2!$A$2:$D$31,4,0)</f>
        <v>#N/A</v>
      </c>
      <c r="E27" s="450" t="e">
        <f>'Customs Invoice'!E24</f>
        <v>#N/A</v>
      </c>
      <c r="F27" s="188">
        <f>'Customs Invoice'!F24</f>
        <v>0</v>
      </c>
      <c r="G27" s="462">
        <f>'Customs Invoice'!G24</f>
        <v>0</v>
      </c>
      <c r="H27" s="463" t="e">
        <f>'Customs Invoice'!H24</f>
        <v>#N/A</v>
      </c>
      <c r="I27" s="464">
        <f>'Customs Invoice'!I24</f>
        <v>0</v>
      </c>
      <c r="J27" s="464">
        <f>'Customs Invoice'!J24</f>
        <v>0</v>
      </c>
      <c r="K27" s="465">
        <f>'Customs Invoice'!P24</f>
        <v>0</v>
      </c>
      <c r="L27" s="152"/>
      <c r="M27" s="153"/>
    </row>
    <row r="28" spans="1:14" s="135" customFormat="1" ht="18" customHeight="1">
      <c r="A28" s="175"/>
      <c r="B28" s="448"/>
      <c r="C28" s="450"/>
      <c r="D28" s="137" t="e">
        <f>VLOOKUP(F28,Sheet2!$A$2:$D$31,4,0)</f>
        <v>#N/A</v>
      </c>
      <c r="E28" s="450"/>
      <c r="F28" s="188" t="str">
        <f>F27&amp;1</f>
        <v>01</v>
      </c>
      <c r="G28" s="462"/>
      <c r="H28" s="463"/>
      <c r="I28" s="464"/>
      <c r="J28" s="464"/>
      <c r="K28" s="465"/>
      <c r="L28" s="152"/>
      <c r="M28" s="153"/>
    </row>
    <row r="29" spans="1:14" s="135" customFormat="1" ht="18" customHeight="1">
      <c r="A29" s="175"/>
      <c r="B29" s="448">
        <f>'Customs Invoice'!B25</f>
        <v>5</v>
      </c>
      <c r="C29" s="449" t="e">
        <f>'Customs Invoice'!C25</f>
        <v>#N/A</v>
      </c>
      <c r="D29" s="137" t="e">
        <f>VLOOKUP(F29,Sheet2!$A$2:$D$31,4,0)</f>
        <v>#N/A</v>
      </c>
      <c r="E29" s="450" t="e">
        <f>'Customs Invoice'!E25</f>
        <v>#N/A</v>
      </c>
      <c r="F29" s="188">
        <f>'Customs Invoice'!F25</f>
        <v>0</v>
      </c>
      <c r="G29" s="462">
        <f>'Customs Invoice'!G25</f>
        <v>0</v>
      </c>
      <c r="H29" s="463" t="e">
        <f>'Customs Invoice'!H25</f>
        <v>#N/A</v>
      </c>
      <c r="I29" s="464">
        <f>'Customs Invoice'!I25</f>
        <v>0</v>
      </c>
      <c r="J29" s="464">
        <f>'Customs Invoice'!J25</f>
        <v>0</v>
      </c>
      <c r="K29" s="465">
        <f>'Customs Invoice'!P25</f>
        <v>0</v>
      </c>
      <c r="L29" s="152"/>
      <c r="M29" s="153"/>
    </row>
    <row r="30" spans="1:14" s="135" customFormat="1" ht="18" customHeight="1">
      <c r="A30" s="175"/>
      <c r="B30" s="448"/>
      <c r="C30" s="450"/>
      <c r="D30" s="137" t="e">
        <f>VLOOKUP(F30,Sheet2!$A$2:$D$31,4,0)</f>
        <v>#N/A</v>
      </c>
      <c r="E30" s="450"/>
      <c r="F30" s="188" t="str">
        <f>F29&amp;1</f>
        <v>01</v>
      </c>
      <c r="G30" s="462"/>
      <c r="H30" s="463"/>
      <c r="I30" s="464"/>
      <c r="J30" s="464"/>
      <c r="K30" s="465"/>
      <c r="L30" s="152"/>
      <c r="M30" s="153"/>
    </row>
    <row r="31" spans="1:14" s="135" customFormat="1" ht="18" customHeight="1">
      <c r="A31" s="175"/>
      <c r="B31" s="448">
        <f>'Customs Invoice'!B26</f>
        <v>6</v>
      </c>
      <c r="C31" s="449" t="e">
        <f>'Customs Invoice'!C26</f>
        <v>#N/A</v>
      </c>
      <c r="D31" s="137" t="e">
        <f>VLOOKUP(F31,Sheet2!$A$2:$D$31,4,0)</f>
        <v>#N/A</v>
      </c>
      <c r="E31" s="450" t="e">
        <f>'Customs Invoice'!E26</f>
        <v>#N/A</v>
      </c>
      <c r="F31" s="188">
        <f>'Customs Invoice'!F26</f>
        <v>0</v>
      </c>
      <c r="G31" s="462">
        <f>'Customs Invoice'!G26</f>
        <v>0</v>
      </c>
      <c r="H31" s="463" t="e">
        <f>'Customs Invoice'!H26</f>
        <v>#N/A</v>
      </c>
      <c r="I31" s="464">
        <f>'Customs Invoice'!I26</f>
        <v>0</v>
      </c>
      <c r="J31" s="464">
        <f>'Customs Invoice'!J26</f>
        <v>0</v>
      </c>
      <c r="K31" s="465">
        <f>'Customs Invoice'!P26</f>
        <v>0</v>
      </c>
      <c r="L31" s="152"/>
      <c r="M31" s="153"/>
    </row>
    <row r="32" spans="1:14" s="135" customFormat="1" ht="18" customHeight="1">
      <c r="A32" s="175"/>
      <c r="B32" s="448"/>
      <c r="C32" s="450"/>
      <c r="D32" s="137" t="e">
        <f>VLOOKUP(F32,Sheet2!$A$2:$D$31,4,0)</f>
        <v>#N/A</v>
      </c>
      <c r="E32" s="450"/>
      <c r="F32" s="188" t="str">
        <f>F31&amp;1</f>
        <v>01</v>
      </c>
      <c r="G32" s="462"/>
      <c r="H32" s="463"/>
      <c r="I32" s="464"/>
      <c r="J32" s="464"/>
      <c r="K32" s="465"/>
      <c r="L32" s="152"/>
      <c r="M32" s="153"/>
    </row>
    <row r="33" spans="1:14" s="135" customFormat="1" ht="18" customHeight="1">
      <c r="A33" s="175"/>
      <c r="B33" s="448">
        <f>'Customs Invoice'!B27</f>
        <v>7</v>
      </c>
      <c r="C33" s="449" t="e">
        <f>'Customs Invoice'!C27</f>
        <v>#N/A</v>
      </c>
      <c r="D33" s="137" t="e">
        <f>VLOOKUP(F33,Sheet2!$A$2:$D$31,4,0)</f>
        <v>#N/A</v>
      </c>
      <c r="E33" s="450" t="e">
        <f>'Customs Invoice'!E27</f>
        <v>#N/A</v>
      </c>
      <c r="F33" s="188">
        <f>'Customs Invoice'!F27</f>
        <v>0</v>
      </c>
      <c r="G33" s="462">
        <f>'Customs Invoice'!G27</f>
        <v>0</v>
      </c>
      <c r="H33" s="463" t="e">
        <f>'Customs Invoice'!H27</f>
        <v>#N/A</v>
      </c>
      <c r="I33" s="464">
        <f>'Customs Invoice'!I27</f>
        <v>0</v>
      </c>
      <c r="J33" s="464">
        <f>'Customs Invoice'!J27</f>
        <v>0</v>
      </c>
      <c r="K33" s="465">
        <f>'Customs Invoice'!P27</f>
        <v>0</v>
      </c>
      <c r="L33" s="152"/>
      <c r="M33" s="153"/>
    </row>
    <row r="34" spans="1:14" s="135" customFormat="1" ht="18" customHeight="1">
      <c r="A34" s="175"/>
      <c r="B34" s="448"/>
      <c r="C34" s="450"/>
      <c r="D34" s="137" t="e">
        <f>VLOOKUP(F34,Sheet2!$A$2:$D$31,4,0)</f>
        <v>#N/A</v>
      </c>
      <c r="E34" s="450"/>
      <c r="F34" s="188" t="str">
        <f>F33&amp;1</f>
        <v>01</v>
      </c>
      <c r="G34" s="462"/>
      <c r="H34" s="463"/>
      <c r="I34" s="464"/>
      <c r="J34" s="464"/>
      <c r="K34" s="465"/>
      <c r="L34" s="152"/>
      <c r="M34" s="153"/>
    </row>
    <row r="35" spans="1:14" s="135" customFormat="1" ht="18" customHeight="1">
      <c r="A35" s="175"/>
      <c r="B35" s="448">
        <f>'Customs Invoice'!B28</f>
        <v>8</v>
      </c>
      <c r="C35" s="449" t="e">
        <f>'Customs Invoice'!C28</f>
        <v>#N/A</v>
      </c>
      <c r="D35" s="137" t="e">
        <f>VLOOKUP(F35,Sheet2!$A$2:$D$31,4,0)</f>
        <v>#N/A</v>
      </c>
      <c r="E35" s="450" t="e">
        <f>'Customs Invoice'!E28</f>
        <v>#N/A</v>
      </c>
      <c r="F35" s="188">
        <f>'Customs Invoice'!F28</f>
        <v>0</v>
      </c>
      <c r="G35" s="462">
        <f>'Customs Invoice'!G28</f>
        <v>0</v>
      </c>
      <c r="H35" s="463" t="e">
        <f>'Customs Invoice'!H28</f>
        <v>#N/A</v>
      </c>
      <c r="I35" s="464">
        <f>'Customs Invoice'!I28</f>
        <v>0</v>
      </c>
      <c r="J35" s="464">
        <f>'Customs Invoice'!J28</f>
        <v>0</v>
      </c>
      <c r="K35" s="465">
        <f>'Customs Invoice'!P28</f>
        <v>0</v>
      </c>
      <c r="L35" s="152"/>
      <c r="M35" s="153"/>
    </row>
    <row r="36" spans="1:14" s="135" customFormat="1" ht="18" customHeight="1">
      <c r="A36" s="175"/>
      <c r="B36" s="448"/>
      <c r="C36" s="450"/>
      <c r="D36" s="137" t="e">
        <f>VLOOKUP(F36,Sheet2!$A$2:$D$31,4,0)</f>
        <v>#N/A</v>
      </c>
      <c r="E36" s="450"/>
      <c r="F36" s="188" t="str">
        <f>F35&amp;1</f>
        <v>01</v>
      </c>
      <c r="G36" s="462"/>
      <c r="H36" s="463"/>
      <c r="I36" s="464"/>
      <c r="J36" s="464"/>
      <c r="K36" s="465"/>
      <c r="L36" s="152"/>
      <c r="M36" s="153"/>
    </row>
    <row r="37" spans="1:14" s="135" customFormat="1" ht="18" customHeight="1">
      <c r="A37" s="175"/>
      <c r="B37" s="448">
        <f>'Customs Invoice'!B29</f>
        <v>9</v>
      </c>
      <c r="C37" s="449" t="e">
        <f>'Customs Invoice'!C29</f>
        <v>#N/A</v>
      </c>
      <c r="D37" s="137" t="e">
        <f>VLOOKUP(F37,Sheet2!$A$2:$D$31,4,0)</f>
        <v>#N/A</v>
      </c>
      <c r="E37" s="450" t="e">
        <f>'Customs Invoice'!E29</f>
        <v>#N/A</v>
      </c>
      <c r="F37" s="188">
        <f>'Customs Invoice'!F29</f>
        <v>0</v>
      </c>
      <c r="G37" s="462">
        <f>'Customs Invoice'!G29</f>
        <v>0</v>
      </c>
      <c r="H37" s="463" t="e">
        <f>'Customs Invoice'!H29</f>
        <v>#N/A</v>
      </c>
      <c r="I37" s="464">
        <f>'Customs Invoice'!I29</f>
        <v>0</v>
      </c>
      <c r="J37" s="464">
        <f>'Customs Invoice'!J29</f>
        <v>0</v>
      </c>
      <c r="K37" s="465">
        <f>'Customs Invoice'!P29</f>
        <v>0</v>
      </c>
      <c r="L37" s="152"/>
      <c r="M37" s="153"/>
    </row>
    <row r="38" spans="1:14" s="135" customFormat="1" ht="18" customHeight="1">
      <c r="A38" s="175"/>
      <c r="B38" s="448"/>
      <c r="C38" s="450"/>
      <c r="D38" s="137" t="e">
        <f>VLOOKUP(F38,Sheet2!$A$2:$D$31,4,0)</f>
        <v>#N/A</v>
      </c>
      <c r="E38" s="450"/>
      <c r="F38" s="188" t="str">
        <f>F37&amp;1</f>
        <v>01</v>
      </c>
      <c r="G38" s="462"/>
      <c r="H38" s="463"/>
      <c r="I38" s="464"/>
      <c r="J38" s="464"/>
      <c r="K38" s="465"/>
      <c r="L38" s="152"/>
      <c r="M38" s="153"/>
    </row>
    <row r="39" spans="1:14" s="135" customFormat="1" ht="18" customHeight="1">
      <c r="A39" s="175"/>
      <c r="B39" s="448">
        <f>'Customs Invoice'!B30</f>
        <v>10</v>
      </c>
      <c r="C39" s="449" t="e">
        <f>'Customs Invoice'!C30</f>
        <v>#N/A</v>
      </c>
      <c r="D39" s="137" t="e">
        <f>VLOOKUP(F39,Sheet2!$A$2:$D$31,4,0)</f>
        <v>#N/A</v>
      </c>
      <c r="E39" s="450" t="e">
        <f>'Customs Invoice'!E30</f>
        <v>#N/A</v>
      </c>
      <c r="F39" s="188" t="str">
        <f>'Customs Invoice'!F30</f>
        <v>-</v>
      </c>
      <c r="G39" s="462">
        <f>'Customs Invoice'!G30</f>
        <v>0</v>
      </c>
      <c r="H39" s="463" t="e">
        <f>'Customs Invoice'!H30</f>
        <v>#N/A</v>
      </c>
      <c r="I39" s="464">
        <f>'Customs Invoice'!I30</f>
        <v>0</v>
      </c>
      <c r="J39" s="464">
        <f>'Customs Invoice'!J30</f>
        <v>0</v>
      </c>
      <c r="K39" s="465">
        <f>'Customs Invoice'!P30</f>
        <v>0</v>
      </c>
      <c r="L39" s="152"/>
      <c r="M39" s="153"/>
    </row>
    <row r="40" spans="1:14" s="135" customFormat="1" ht="18" customHeight="1" thickBot="1">
      <c r="A40" s="175"/>
      <c r="B40" s="470"/>
      <c r="C40" s="450"/>
      <c r="D40" s="189" t="e">
        <f>VLOOKUP(F40,Sheet2!$A$2:$D$31,4,0)</f>
        <v>#N/A</v>
      </c>
      <c r="E40" s="471"/>
      <c r="F40" s="190" t="str">
        <f>F39&amp;1</f>
        <v>-1</v>
      </c>
      <c r="G40" s="472"/>
      <c r="H40" s="473"/>
      <c r="I40" s="466"/>
      <c r="J40" s="466"/>
      <c r="K40" s="467"/>
      <c r="L40" s="152"/>
      <c r="M40" s="153"/>
    </row>
    <row r="41" spans="1:14" s="135" customFormat="1" ht="30" customHeight="1" thickBot="1">
      <c r="A41" s="175"/>
      <c r="B41" s="468" t="s">
        <v>38</v>
      </c>
      <c r="C41" s="469"/>
      <c r="D41" s="469"/>
      <c r="E41" s="469"/>
      <c r="F41" s="191"/>
      <c r="G41" s="476">
        <f>SUM(G21:G40)</f>
        <v>0</v>
      </c>
      <c r="H41" s="477"/>
      <c r="I41" s="192">
        <f>SUM(I21:I40)</f>
        <v>0</v>
      </c>
      <c r="J41" s="192" t="e">
        <f>SUM(J21:J40)</f>
        <v>#DIV/0!</v>
      </c>
      <c r="K41" s="193">
        <f>SUM(K21:K40)</f>
        <v>0</v>
      </c>
      <c r="M41" s="152"/>
      <c r="N41" s="153"/>
    </row>
    <row r="42" spans="1:14" s="135" customFormat="1" ht="29.5" hidden="1" customHeight="1">
      <c r="A42" s="172"/>
      <c r="B42" s="114"/>
      <c r="C42" s="119"/>
      <c r="D42" s="114"/>
      <c r="E42" s="114"/>
      <c r="F42" s="114"/>
      <c r="G42" s="114"/>
      <c r="H42" s="116"/>
      <c r="I42" s="115"/>
      <c r="J42" s="114"/>
      <c r="K42" s="115"/>
      <c r="L42" s="115"/>
      <c r="M42" s="152"/>
      <c r="N42" s="153"/>
    </row>
    <row r="43" spans="1:14" s="135" customFormat="1" ht="25.5" hidden="1" customHeight="1" thickBot="1">
      <c r="A43" s="175"/>
      <c r="B43" s="176" t="s">
        <v>39</v>
      </c>
      <c r="C43" s="102"/>
      <c r="D43" s="177"/>
      <c r="E43" s="173"/>
      <c r="F43" s="173"/>
      <c r="G43" s="173"/>
      <c r="H43" s="173"/>
      <c r="I43" s="117"/>
      <c r="J43" s="178"/>
      <c r="K43" s="179"/>
      <c r="L43" s="179"/>
      <c r="M43" s="152"/>
      <c r="N43" s="153"/>
    </row>
    <row r="44" spans="1:14" s="135" customFormat="1" ht="41" hidden="1" customHeight="1" thickBot="1">
      <c r="A44" s="180"/>
      <c r="B44" s="181" t="s">
        <v>27</v>
      </c>
      <c r="C44" s="182" t="s">
        <v>131</v>
      </c>
      <c r="D44" s="182" t="s">
        <v>132</v>
      </c>
      <c r="E44" s="183" t="s">
        <v>133</v>
      </c>
      <c r="F44" s="183" t="s">
        <v>31</v>
      </c>
      <c r="G44" s="445" t="s">
        <v>134</v>
      </c>
      <c r="H44" s="446"/>
      <c r="I44" s="183" t="s">
        <v>33</v>
      </c>
      <c r="J44" s="184" t="s">
        <v>34</v>
      </c>
      <c r="K44" s="185" t="s">
        <v>135</v>
      </c>
      <c r="L44" s="186" t="s">
        <v>136</v>
      </c>
      <c r="M44" s="152"/>
      <c r="N44" s="153"/>
    </row>
    <row r="45" spans="1:14" s="135" customFormat="1" ht="18" hidden="1" customHeight="1">
      <c r="A45" s="175"/>
      <c r="B45" s="447">
        <f>'Customs Invoice'!B45</f>
        <v>0</v>
      </c>
      <c r="C45" s="449" t="e">
        <f>'Customs Invoice'!C45</f>
        <v>#N/A</v>
      </c>
      <c r="D45" s="138" t="e">
        <f>VLOOKUP(F45,Sheet2!$A$2:$D$31,4,0)</f>
        <v>#N/A</v>
      </c>
      <c r="E45" s="451" t="e">
        <f>'Customs Invoice'!E45</f>
        <v>#N/A</v>
      </c>
      <c r="F45" s="187">
        <f>'Customs Invoice'!F45</f>
        <v>0</v>
      </c>
      <c r="G45" s="452">
        <f>'Customs Invoice'!G45</f>
        <v>0</v>
      </c>
      <c r="H45" s="454" t="e">
        <f>'Customs Invoice'!H45</f>
        <v>#N/A</v>
      </c>
      <c r="I45" s="456">
        <f>'Customs Invoice'!I45</f>
        <v>0</v>
      </c>
      <c r="J45" s="456">
        <f>'Customs Invoice'!J45</f>
        <v>0</v>
      </c>
      <c r="K45" s="474" t="e">
        <f t="shared" ref="K45" si="0">L45/G45</f>
        <v>#DIV/0!</v>
      </c>
      <c r="L45" s="458">
        <f>'Customs Invoice'!P45</f>
        <v>0</v>
      </c>
      <c r="M45" s="152"/>
      <c r="N45" s="153"/>
    </row>
    <row r="46" spans="1:14" s="135" customFormat="1" ht="18" hidden="1" customHeight="1">
      <c r="A46" s="175"/>
      <c r="B46" s="448"/>
      <c r="C46" s="450"/>
      <c r="D46" s="137" t="e">
        <f>VLOOKUP(F46,Sheet2!$A$2:$D$31,4,0)</f>
        <v>#N/A</v>
      </c>
      <c r="E46" s="449"/>
      <c r="F46" s="188" t="str">
        <f>F45&amp;1</f>
        <v>01</v>
      </c>
      <c r="G46" s="453"/>
      <c r="H46" s="455"/>
      <c r="I46" s="457"/>
      <c r="J46" s="457"/>
      <c r="K46" s="475"/>
      <c r="L46" s="459"/>
      <c r="M46" s="152"/>
      <c r="N46" s="153"/>
    </row>
    <row r="47" spans="1:14" s="135" customFormat="1" ht="18" hidden="1" customHeight="1">
      <c r="A47" s="175"/>
      <c r="B47" s="448">
        <f>'Customs Invoice'!B46</f>
        <v>0</v>
      </c>
      <c r="C47" s="449" t="e">
        <f>'Customs Invoice'!C46</f>
        <v>#N/A</v>
      </c>
      <c r="D47" s="137" t="e">
        <f>VLOOKUP(F47,Sheet2!$A$2:$D$31,4,0)</f>
        <v>#N/A</v>
      </c>
      <c r="E47" s="450" t="e">
        <f>'Customs Invoice'!E46</f>
        <v>#N/A</v>
      </c>
      <c r="F47" s="188">
        <f>'Customs Invoice'!F46</f>
        <v>0</v>
      </c>
      <c r="G47" s="462">
        <f>'Customs Invoice'!G46</f>
        <v>0</v>
      </c>
      <c r="H47" s="463" t="e">
        <f>'Customs Invoice'!H46</f>
        <v>#N/A</v>
      </c>
      <c r="I47" s="464">
        <f>'Customs Invoice'!I46</f>
        <v>0</v>
      </c>
      <c r="J47" s="464">
        <f>'Customs Invoice'!J46</f>
        <v>0</v>
      </c>
      <c r="K47" s="478" t="e">
        <f t="shared" ref="K47" si="1">L47/G47</f>
        <v>#DIV/0!</v>
      </c>
      <c r="L47" s="465">
        <f>'Customs Invoice'!P46</f>
        <v>0</v>
      </c>
      <c r="M47" s="152"/>
      <c r="N47" s="153"/>
    </row>
    <row r="48" spans="1:14" s="135" customFormat="1" ht="18" hidden="1" customHeight="1">
      <c r="A48" s="175"/>
      <c r="B48" s="448"/>
      <c r="C48" s="450"/>
      <c r="D48" s="137" t="e">
        <f>VLOOKUP(F48,Sheet2!$A$2:$D$31,4,0)</f>
        <v>#N/A</v>
      </c>
      <c r="E48" s="450"/>
      <c r="F48" s="188" t="str">
        <f>F47&amp;1</f>
        <v>01</v>
      </c>
      <c r="G48" s="462"/>
      <c r="H48" s="463"/>
      <c r="I48" s="464"/>
      <c r="J48" s="464"/>
      <c r="K48" s="478"/>
      <c r="L48" s="465"/>
      <c r="M48" s="152"/>
      <c r="N48" s="153"/>
    </row>
    <row r="49" spans="1:14" s="135" customFormat="1" ht="18" hidden="1" customHeight="1">
      <c r="A49" s="175"/>
      <c r="B49" s="448">
        <f>'Customs Invoice'!B47</f>
        <v>0</v>
      </c>
      <c r="C49" s="449" t="e">
        <f>'Customs Invoice'!C47</f>
        <v>#N/A</v>
      </c>
      <c r="D49" s="137" t="e">
        <f>VLOOKUP(F49,Sheet2!$A$2:$D$31,4,0)</f>
        <v>#N/A</v>
      </c>
      <c r="E49" s="450" t="e">
        <f>'Customs Invoice'!E47</f>
        <v>#N/A</v>
      </c>
      <c r="F49" s="188">
        <f>'Customs Invoice'!F47</f>
        <v>0</v>
      </c>
      <c r="G49" s="462">
        <f>'Customs Invoice'!G47</f>
        <v>0</v>
      </c>
      <c r="H49" s="463" t="e">
        <f>'Customs Invoice'!H47</f>
        <v>#N/A</v>
      </c>
      <c r="I49" s="464">
        <f>'Customs Invoice'!I47</f>
        <v>0</v>
      </c>
      <c r="J49" s="464">
        <f>'Customs Invoice'!J47</f>
        <v>0</v>
      </c>
      <c r="K49" s="478" t="e">
        <f t="shared" ref="K49" si="2">L49/G49</f>
        <v>#DIV/0!</v>
      </c>
      <c r="L49" s="465">
        <f>'Customs Invoice'!P47</f>
        <v>0</v>
      </c>
      <c r="M49" s="152"/>
      <c r="N49" s="153"/>
    </row>
    <row r="50" spans="1:14" s="135" customFormat="1" ht="18" hidden="1" customHeight="1">
      <c r="A50" s="175"/>
      <c r="B50" s="448"/>
      <c r="C50" s="450"/>
      <c r="D50" s="137" t="e">
        <f>VLOOKUP(F50,Sheet2!$A$2:$D$31,4,0)</f>
        <v>#N/A</v>
      </c>
      <c r="E50" s="450"/>
      <c r="F50" s="188" t="str">
        <f>F49&amp;1</f>
        <v>01</v>
      </c>
      <c r="G50" s="462"/>
      <c r="H50" s="463"/>
      <c r="I50" s="464"/>
      <c r="J50" s="464"/>
      <c r="K50" s="478"/>
      <c r="L50" s="465"/>
      <c r="M50" s="152"/>
      <c r="N50" s="153"/>
    </row>
    <row r="51" spans="1:14" s="135" customFormat="1" ht="18" hidden="1" customHeight="1">
      <c r="A51" s="175"/>
      <c r="B51" s="448">
        <f>'Customs Invoice'!B48</f>
        <v>0</v>
      </c>
      <c r="C51" s="449" t="e">
        <f>'Customs Invoice'!C48</f>
        <v>#N/A</v>
      </c>
      <c r="D51" s="137" t="e">
        <f>VLOOKUP(F51,Sheet2!$A$2:$D$31,4,0)</f>
        <v>#N/A</v>
      </c>
      <c r="E51" s="450" t="e">
        <f>'Customs Invoice'!E48</f>
        <v>#N/A</v>
      </c>
      <c r="F51" s="188">
        <f>'Customs Invoice'!F48</f>
        <v>0</v>
      </c>
      <c r="G51" s="462">
        <f>'Customs Invoice'!G48</f>
        <v>0</v>
      </c>
      <c r="H51" s="463" t="e">
        <f>'Customs Invoice'!H48</f>
        <v>#N/A</v>
      </c>
      <c r="I51" s="464">
        <f>'Customs Invoice'!I48</f>
        <v>0</v>
      </c>
      <c r="J51" s="464">
        <f>'Customs Invoice'!J48</f>
        <v>0</v>
      </c>
      <c r="K51" s="478" t="e">
        <f t="shared" ref="K51" si="3">L51/G51</f>
        <v>#DIV/0!</v>
      </c>
      <c r="L51" s="465">
        <f>'Customs Invoice'!P48</f>
        <v>0</v>
      </c>
      <c r="M51" s="152"/>
      <c r="N51" s="153"/>
    </row>
    <row r="52" spans="1:14" s="135" customFormat="1" ht="18" hidden="1" customHeight="1">
      <c r="A52" s="175"/>
      <c r="B52" s="448"/>
      <c r="C52" s="450"/>
      <c r="D52" s="137" t="e">
        <f>VLOOKUP(F52,Sheet2!$A$2:$D$31,4,0)</f>
        <v>#N/A</v>
      </c>
      <c r="E52" s="450"/>
      <c r="F52" s="188" t="str">
        <f>F51&amp;1</f>
        <v>01</v>
      </c>
      <c r="G52" s="462"/>
      <c r="H52" s="463"/>
      <c r="I52" s="464"/>
      <c r="J52" s="464"/>
      <c r="K52" s="478"/>
      <c r="L52" s="465"/>
      <c r="M52" s="152"/>
      <c r="N52" s="153"/>
    </row>
    <row r="53" spans="1:14" s="135" customFormat="1" ht="18" hidden="1" customHeight="1">
      <c r="A53" s="175"/>
      <c r="B53" s="448">
        <f>'Customs Invoice'!B49</f>
        <v>0</v>
      </c>
      <c r="C53" s="449" t="e">
        <f>'Customs Invoice'!C49</f>
        <v>#N/A</v>
      </c>
      <c r="D53" s="137" t="e">
        <f>VLOOKUP(F53,Sheet2!$A$2:$D$31,4,0)</f>
        <v>#N/A</v>
      </c>
      <c r="E53" s="450" t="e">
        <f>'Customs Invoice'!E49</f>
        <v>#N/A</v>
      </c>
      <c r="F53" s="188">
        <f>'Customs Invoice'!F49</f>
        <v>0</v>
      </c>
      <c r="G53" s="462">
        <f>'Customs Invoice'!G49</f>
        <v>0</v>
      </c>
      <c r="H53" s="463" t="e">
        <f>'Customs Invoice'!H49</f>
        <v>#N/A</v>
      </c>
      <c r="I53" s="464">
        <f>'Customs Invoice'!I49</f>
        <v>0</v>
      </c>
      <c r="J53" s="464">
        <f>'Customs Invoice'!J49</f>
        <v>0</v>
      </c>
      <c r="K53" s="478" t="e">
        <f t="shared" ref="K53" si="4">L53/G53</f>
        <v>#DIV/0!</v>
      </c>
      <c r="L53" s="465">
        <f>'Customs Invoice'!P49</f>
        <v>0</v>
      </c>
      <c r="M53" s="152"/>
      <c r="N53" s="153"/>
    </row>
    <row r="54" spans="1:14" s="135" customFormat="1" ht="18" hidden="1" customHeight="1">
      <c r="A54" s="175"/>
      <c r="B54" s="448"/>
      <c r="C54" s="450"/>
      <c r="D54" s="137" t="e">
        <f>VLOOKUP(F54,Sheet2!$A$2:$D$31,4,0)</f>
        <v>#N/A</v>
      </c>
      <c r="E54" s="450"/>
      <c r="F54" s="188" t="str">
        <f>F53&amp;1</f>
        <v>01</v>
      </c>
      <c r="G54" s="462"/>
      <c r="H54" s="463"/>
      <c r="I54" s="464"/>
      <c r="J54" s="464"/>
      <c r="K54" s="478"/>
      <c r="L54" s="465"/>
      <c r="M54" s="152"/>
      <c r="N54" s="153"/>
    </row>
    <row r="55" spans="1:14" s="135" customFormat="1" ht="18" hidden="1" customHeight="1">
      <c r="A55" s="175"/>
      <c r="B55" s="448">
        <f>'Customs Invoice'!B50</f>
        <v>0</v>
      </c>
      <c r="C55" s="449" t="e">
        <f>'Customs Invoice'!C50</f>
        <v>#N/A</v>
      </c>
      <c r="D55" s="137" t="e">
        <f>VLOOKUP(F55,Sheet2!$A$2:$D$31,4,0)</f>
        <v>#N/A</v>
      </c>
      <c r="E55" s="450" t="e">
        <f>'Customs Invoice'!E50</f>
        <v>#N/A</v>
      </c>
      <c r="F55" s="188">
        <f>'Customs Invoice'!F50</f>
        <v>0</v>
      </c>
      <c r="G55" s="462">
        <f>'Customs Invoice'!G50</f>
        <v>0</v>
      </c>
      <c r="H55" s="463" t="e">
        <f>'Customs Invoice'!H50</f>
        <v>#N/A</v>
      </c>
      <c r="I55" s="464">
        <f>'Customs Invoice'!I50</f>
        <v>0</v>
      </c>
      <c r="J55" s="464">
        <f>'Customs Invoice'!J50</f>
        <v>0</v>
      </c>
      <c r="K55" s="478" t="e">
        <f t="shared" ref="K55" si="5">L55/G55</f>
        <v>#DIV/0!</v>
      </c>
      <c r="L55" s="465">
        <f>'Customs Invoice'!P50</f>
        <v>0</v>
      </c>
      <c r="M55" s="152"/>
      <c r="N55" s="153"/>
    </row>
    <row r="56" spans="1:14" s="135" customFormat="1" ht="18" hidden="1" customHeight="1">
      <c r="A56" s="175"/>
      <c r="B56" s="448"/>
      <c r="C56" s="450"/>
      <c r="D56" s="137" t="e">
        <f>VLOOKUP(F56,Sheet2!$A$2:$D$31,4,0)</f>
        <v>#N/A</v>
      </c>
      <c r="E56" s="450"/>
      <c r="F56" s="188" t="str">
        <f>F55&amp;1</f>
        <v>01</v>
      </c>
      <c r="G56" s="462"/>
      <c r="H56" s="463"/>
      <c r="I56" s="464"/>
      <c r="J56" s="464"/>
      <c r="K56" s="478"/>
      <c r="L56" s="465"/>
      <c r="M56" s="152"/>
      <c r="N56" s="153"/>
    </row>
    <row r="57" spans="1:14" s="135" customFormat="1" ht="18" hidden="1" customHeight="1">
      <c r="A57" s="175"/>
      <c r="B57" s="448">
        <f>'Customs Invoice'!B51</f>
        <v>0</v>
      </c>
      <c r="C57" s="449" t="e">
        <f>'Customs Invoice'!C51</f>
        <v>#N/A</v>
      </c>
      <c r="D57" s="137" t="e">
        <f>VLOOKUP(F57,Sheet2!$A$2:$D$31,4,0)</f>
        <v>#N/A</v>
      </c>
      <c r="E57" s="450" t="e">
        <f>'Customs Invoice'!E51</f>
        <v>#N/A</v>
      </c>
      <c r="F57" s="188">
        <f>'Customs Invoice'!F51</f>
        <v>0</v>
      </c>
      <c r="G57" s="462">
        <f>'Customs Invoice'!G51</f>
        <v>0</v>
      </c>
      <c r="H57" s="463" t="e">
        <f>'Customs Invoice'!H51</f>
        <v>#N/A</v>
      </c>
      <c r="I57" s="464">
        <f>'Customs Invoice'!I51</f>
        <v>0</v>
      </c>
      <c r="J57" s="464">
        <f>'Customs Invoice'!J51</f>
        <v>0</v>
      </c>
      <c r="K57" s="478" t="e">
        <f t="shared" ref="K57" si="6">L57/G57</f>
        <v>#DIV/0!</v>
      </c>
      <c r="L57" s="465">
        <f>'Customs Invoice'!P51</f>
        <v>0</v>
      </c>
      <c r="M57" s="152"/>
      <c r="N57" s="153"/>
    </row>
    <row r="58" spans="1:14" s="135" customFormat="1" ht="18" hidden="1" customHeight="1">
      <c r="A58" s="175"/>
      <c r="B58" s="448"/>
      <c r="C58" s="450"/>
      <c r="D58" s="137" t="e">
        <f>VLOOKUP(F58,Sheet2!$A$2:$D$31,4,0)</f>
        <v>#N/A</v>
      </c>
      <c r="E58" s="450"/>
      <c r="F58" s="188" t="str">
        <f>F57&amp;1</f>
        <v>01</v>
      </c>
      <c r="G58" s="462"/>
      <c r="H58" s="463"/>
      <c r="I58" s="464"/>
      <c r="J58" s="464"/>
      <c r="K58" s="478"/>
      <c r="L58" s="465"/>
      <c r="M58" s="152"/>
      <c r="N58" s="153"/>
    </row>
    <row r="59" spans="1:14" s="135" customFormat="1" ht="18" hidden="1" customHeight="1">
      <c r="A59" s="175"/>
      <c r="B59" s="448">
        <f>'Customs Invoice'!B52</f>
        <v>0</v>
      </c>
      <c r="C59" s="449" t="e">
        <f>'Customs Invoice'!C52</f>
        <v>#N/A</v>
      </c>
      <c r="D59" s="137" t="e">
        <f>VLOOKUP(F59,Sheet2!$A$2:$D$31,4,0)</f>
        <v>#N/A</v>
      </c>
      <c r="E59" s="450" t="e">
        <f>'Customs Invoice'!E52</f>
        <v>#N/A</v>
      </c>
      <c r="F59" s="188">
        <f>'Customs Invoice'!F52</f>
        <v>0</v>
      </c>
      <c r="G59" s="462">
        <f>'Customs Invoice'!G52</f>
        <v>0</v>
      </c>
      <c r="H59" s="463" t="e">
        <f>'Customs Invoice'!H52</f>
        <v>#N/A</v>
      </c>
      <c r="I59" s="464">
        <f>'Customs Invoice'!I52</f>
        <v>0</v>
      </c>
      <c r="J59" s="464">
        <f>'Customs Invoice'!J52</f>
        <v>0</v>
      </c>
      <c r="K59" s="478" t="e">
        <f t="shared" ref="K59" si="7">L59/G59</f>
        <v>#DIV/0!</v>
      </c>
      <c r="L59" s="465">
        <f>'Customs Invoice'!P52</f>
        <v>0</v>
      </c>
      <c r="M59" s="152"/>
      <c r="N59" s="153"/>
    </row>
    <row r="60" spans="1:14" s="135" customFormat="1" ht="18" hidden="1" customHeight="1">
      <c r="A60" s="175"/>
      <c r="B60" s="448"/>
      <c r="C60" s="450"/>
      <c r="D60" s="137" t="e">
        <f>VLOOKUP(F60,Sheet2!$A$2:$D$31,4,0)</f>
        <v>#N/A</v>
      </c>
      <c r="E60" s="450"/>
      <c r="F60" s="188" t="str">
        <f>F59&amp;1</f>
        <v>01</v>
      </c>
      <c r="G60" s="462"/>
      <c r="H60" s="463"/>
      <c r="I60" s="464"/>
      <c r="J60" s="464"/>
      <c r="K60" s="478"/>
      <c r="L60" s="465"/>
      <c r="M60" s="152"/>
      <c r="N60" s="153"/>
    </row>
    <row r="61" spans="1:14" s="135" customFormat="1" ht="18" hidden="1" customHeight="1">
      <c r="A61" s="175"/>
      <c r="B61" s="448">
        <f>'Customs Invoice'!B53</f>
        <v>0</v>
      </c>
      <c r="C61" s="449" t="e">
        <f>'Customs Invoice'!C53</f>
        <v>#N/A</v>
      </c>
      <c r="D61" s="137" t="e">
        <f>VLOOKUP(F61,Sheet2!$A$2:$D$31,4,0)</f>
        <v>#N/A</v>
      </c>
      <c r="E61" s="450" t="e">
        <f>'Customs Invoice'!E53</f>
        <v>#N/A</v>
      </c>
      <c r="F61" s="188">
        <f>'Customs Invoice'!F53</f>
        <v>0</v>
      </c>
      <c r="G61" s="462">
        <f>'Customs Invoice'!G53</f>
        <v>0</v>
      </c>
      <c r="H61" s="463" t="e">
        <f>'Customs Invoice'!H53</f>
        <v>#N/A</v>
      </c>
      <c r="I61" s="464">
        <f>'Customs Invoice'!I53</f>
        <v>0</v>
      </c>
      <c r="J61" s="464">
        <f>'Customs Invoice'!J53</f>
        <v>0</v>
      </c>
      <c r="K61" s="478" t="e">
        <f t="shared" ref="K61" si="8">L61/G61</f>
        <v>#DIV/0!</v>
      </c>
      <c r="L61" s="465">
        <f>'Customs Invoice'!P53</f>
        <v>0</v>
      </c>
      <c r="M61" s="152"/>
      <c r="N61" s="153"/>
    </row>
    <row r="62" spans="1:14" s="135" customFormat="1" ht="18" hidden="1" customHeight="1">
      <c r="A62" s="175"/>
      <c r="B62" s="448"/>
      <c r="C62" s="450"/>
      <c r="D62" s="137" t="e">
        <f>VLOOKUP(F62,Sheet2!$A$2:$D$31,4,0)</f>
        <v>#N/A</v>
      </c>
      <c r="E62" s="450"/>
      <c r="F62" s="188" t="str">
        <f>F61&amp;1</f>
        <v>01</v>
      </c>
      <c r="G62" s="462"/>
      <c r="H62" s="463"/>
      <c r="I62" s="464"/>
      <c r="J62" s="464"/>
      <c r="K62" s="478"/>
      <c r="L62" s="465"/>
      <c r="M62" s="152"/>
      <c r="N62" s="153"/>
    </row>
    <row r="63" spans="1:14" s="135" customFormat="1" ht="18" hidden="1" customHeight="1">
      <c r="A63" s="175"/>
      <c r="B63" s="448">
        <f>'Customs Invoice'!B54</f>
        <v>0</v>
      </c>
      <c r="C63" s="449" t="e">
        <f>'Customs Invoice'!C54</f>
        <v>#N/A</v>
      </c>
      <c r="D63" s="137" t="e">
        <f>VLOOKUP(F63,Sheet2!$A$2:$D$31,4,0)</f>
        <v>#N/A</v>
      </c>
      <c r="E63" s="450" t="e">
        <f>'Customs Invoice'!E54</f>
        <v>#N/A</v>
      </c>
      <c r="F63" s="188">
        <f>'Customs Invoice'!F54</f>
        <v>0</v>
      </c>
      <c r="G63" s="462">
        <f>'Customs Invoice'!G54</f>
        <v>0</v>
      </c>
      <c r="H63" s="463" t="e">
        <f>'Customs Invoice'!H54</f>
        <v>#N/A</v>
      </c>
      <c r="I63" s="464">
        <f>'Customs Invoice'!I54</f>
        <v>0</v>
      </c>
      <c r="J63" s="464">
        <f>'Customs Invoice'!J54</f>
        <v>0</v>
      </c>
      <c r="K63" s="478" t="e">
        <f t="shared" ref="K63" si="9">L63/G63</f>
        <v>#DIV/0!</v>
      </c>
      <c r="L63" s="465">
        <f>'Customs Invoice'!P54</f>
        <v>0</v>
      </c>
      <c r="M63" s="152"/>
      <c r="N63" s="153"/>
    </row>
    <row r="64" spans="1:14" s="135" customFormat="1" ht="18" hidden="1" customHeight="1" thickBot="1">
      <c r="A64" s="175"/>
      <c r="B64" s="470"/>
      <c r="C64" s="450"/>
      <c r="D64" s="189" t="e">
        <f>VLOOKUP(F64,Sheet2!$A$2:$D$31,4,0)</f>
        <v>#N/A</v>
      </c>
      <c r="E64" s="471"/>
      <c r="F64" s="190" t="str">
        <f>F63&amp;1</f>
        <v>01</v>
      </c>
      <c r="G64" s="472"/>
      <c r="H64" s="473"/>
      <c r="I64" s="466"/>
      <c r="J64" s="466"/>
      <c r="K64" s="479"/>
      <c r="L64" s="467"/>
      <c r="M64" s="152"/>
      <c r="N64" s="153"/>
    </row>
    <row r="65" spans="1:14" s="135" customFormat="1" ht="30" hidden="1" customHeight="1" thickBot="1">
      <c r="A65" s="175"/>
      <c r="B65" s="468" t="s">
        <v>38</v>
      </c>
      <c r="C65" s="469"/>
      <c r="D65" s="469"/>
      <c r="E65" s="469"/>
      <c r="F65" s="191"/>
      <c r="G65" s="480">
        <f>SUM(G45:G64)</f>
        <v>0</v>
      </c>
      <c r="H65" s="481"/>
      <c r="I65" s="192">
        <f>SUM(I45:I64)</f>
        <v>0</v>
      </c>
      <c r="J65" s="192">
        <f>SUM(J45:J64)</f>
        <v>0</v>
      </c>
      <c r="K65" s="203"/>
      <c r="L65" s="193">
        <f>SUM(L45:L64)</f>
        <v>0</v>
      </c>
      <c r="M65" s="152"/>
      <c r="N65" s="153"/>
    </row>
    <row r="66" spans="1:14" s="135" customFormat="1" ht="29.5" hidden="1" customHeight="1">
      <c r="A66" s="172"/>
      <c r="B66" s="173"/>
      <c r="C66" s="102"/>
      <c r="D66" s="173"/>
      <c r="E66" s="173"/>
      <c r="F66" s="173"/>
      <c r="G66" s="173"/>
      <c r="H66" s="174"/>
      <c r="I66" s="175"/>
      <c r="J66" s="173"/>
      <c r="K66" s="161"/>
      <c r="L66" s="175"/>
      <c r="M66" s="152"/>
      <c r="N66" s="153"/>
    </row>
    <row r="67" spans="1:14" s="135" customFormat="1" ht="25.5" hidden="1" customHeight="1" thickBot="1">
      <c r="A67" s="175"/>
      <c r="B67" s="176" t="s">
        <v>138</v>
      </c>
      <c r="C67" s="102"/>
      <c r="D67" s="177"/>
      <c r="E67" s="173"/>
      <c r="F67" s="173"/>
      <c r="G67" s="173"/>
      <c r="H67" s="173"/>
      <c r="I67" s="117"/>
      <c r="J67" s="178"/>
      <c r="K67" s="179"/>
      <c r="L67" s="179"/>
      <c r="M67" s="152"/>
      <c r="N67" s="153"/>
    </row>
    <row r="68" spans="1:14" s="135" customFormat="1" ht="41" hidden="1" customHeight="1" thickBot="1">
      <c r="A68" s="180"/>
      <c r="B68" s="181" t="s">
        <v>27</v>
      </c>
      <c r="C68" s="182" t="s">
        <v>131</v>
      </c>
      <c r="D68" s="182" t="s">
        <v>132</v>
      </c>
      <c r="E68" s="183" t="s">
        <v>133</v>
      </c>
      <c r="F68" s="183" t="s">
        <v>31</v>
      </c>
      <c r="G68" s="445" t="s">
        <v>134</v>
      </c>
      <c r="H68" s="446"/>
      <c r="I68" s="183" t="s">
        <v>33</v>
      </c>
      <c r="J68" s="184" t="s">
        <v>34</v>
      </c>
      <c r="K68" s="185" t="s">
        <v>135</v>
      </c>
      <c r="L68" s="186" t="s">
        <v>136</v>
      </c>
      <c r="M68" s="152"/>
      <c r="N68" s="153"/>
    </row>
    <row r="69" spans="1:14" s="135" customFormat="1" ht="18" hidden="1" customHeight="1">
      <c r="A69" s="175"/>
      <c r="B69" s="447">
        <f>'Customs Invoice'!B69</f>
        <v>0</v>
      </c>
      <c r="C69" s="449" t="e">
        <f>'Customs Invoice'!C69</f>
        <v>#N/A</v>
      </c>
      <c r="D69" s="138" t="e">
        <f>VLOOKUP(F69,Sheet2!$A$2:$D$31,4,0)</f>
        <v>#N/A</v>
      </c>
      <c r="E69" s="451" t="e">
        <f>'Customs Invoice'!E69</f>
        <v>#N/A</v>
      </c>
      <c r="F69" s="187">
        <f>'Customs Invoice'!F69</f>
        <v>0</v>
      </c>
      <c r="G69" s="452">
        <f>'Customs Invoice'!G69</f>
        <v>0</v>
      </c>
      <c r="H69" s="454" t="e">
        <f>'Customs Invoice'!H69</f>
        <v>#N/A</v>
      </c>
      <c r="I69" s="456">
        <f>'Customs Invoice'!I69</f>
        <v>0</v>
      </c>
      <c r="J69" s="456">
        <f>'Customs Invoice'!J69</f>
        <v>0</v>
      </c>
      <c r="K69" s="474" t="e">
        <f t="shared" ref="K69" si="10">L69/G69</f>
        <v>#DIV/0!</v>
      </c>
      <c r="L69" s="458">
        <f>'Customs Invoice'!P69</f>
        <v>0</v>
      </c>
      <c r="M69" s="152"/>
      <c r="N69" s="153"/>
    </row>
    <row r="70" spans="1:14" s="135" customFormat="1" ht="18" hidden="1" customHeight="1">
      <c r="A70" s="175"/>
      <c r="B70" s="448"/>
      <c r="C70" s="450"/>
      <c r="D70" s="137" t="e">
        <f>VLOOKUP(F70,Sheet2!$A$2:$D$31,4,0)</f>
        <v>#N/A</v>
      </c>
      <c r="E70" s="449"/>
      <c r="F70" s="188" t="str">
        <f>F69&amp;1</f>
        <v>01</v>
      </c>
      <c r="G70" s="453"/>
      <c r="H70" s="455"/>
      <c r="I70" s="457"/>
      <c r="J70" s="457"/>
      <c r="K70" s="475"/>
      <c r="L70" s="459"/>
      <c r="M70" s="152"/>
      <c r="N70" s="153"/>
    </row>
    <row r="71" spans="1:14" s="135" customFormat="1" ht="18" hidden="1" customHeight="1">
      <c r="A71" s="175"/>
      <c r="B71" s="448">
        <f>'Customs Invoice'!B70</f>
        <v>0</v>
      </c>
      <c r="C71" s="449" t="e">
        <f>'Customs Invoice'!C70</f>
        <v>#N/A</v>
      </c>
      <c r="D71" s="137" t="e">
        <f>VLOOKUP(F71,Sheet2!$A$2:$D$31,4,0)</f>
        <v>#N/A</v>
      </c>
      <c r="E71" s="450" t="e">
        <f>'Customs Invoice'!E70</f>
        <v>#N/A</v>
      </c>
      <c r="F71" s="188">
        <f>'Customs Invoice'!F70</f>
        <v>0</v>
      </c>
      <c r="G71" s="462">
        <f>'Customs Invoice'!G70</f>
        <v>0</v>
      </c>
      <c r="H71" s="463" t="e">
        <f>'Customs Invoice'!H70</f>
        <v>#N/A</v>
      </c>
      <c r="I71" s="464">
        <f>'Customs Invoice'!I70</f>
        <v>0</v>
      </c>
      <c r="J71" s="464">
        <f>'Customs Invoice'!J70</f>
        <v>0</v>
      </c>
      <c r="K71" s="478" t="e">
        <f t="shared" ref="K71" si="11">L71/G71</f>
        <v>#DIV/0!</v>
      </c>
      <c r="L71" s="465">
        <f>'Customs Invoice'!P70</f>
        <v>0</v>
      </c>
      <c r="M71" s="152"/>
      <c r="N71" s="153"/>
    </row>
    <row r="72" spans="1:14" s="135" customFormat="1" ht="18" hidden="1" customHeight="1">
      <c r="A72" s="175"/>
      <c r="B72" s="448"/>
      <c r="C72" s="450"/>
      <c r="D72" s="137" t="e">
        <f>VLOOKUP(F72,Sheet2!$A$2:$D$31,4,0)</f>
        <v>#N/A</v>
      </c>
      <c r="E72" s="450"/>
      <c r="F72" s="188" t="str">
        <f>F71&amp;1</f>
        <v>01</v>
      </c>
      <c r="G72" s="462"/>
      <c r="H72" s="463"/>
      <c r="I72" s="464"/>
      <c r="J72" s="464"/>
      <c r="K72" s="478"/>
      <c r="L72" s="465"/>
      <c r="M72" s="152"/>
      <c r="N72" s="153"/>
    </row>
    <row r="73" spans="1:14" s="135" customFormat="1" ht="18" hidden="1" customHeight="1">
      <c r="A73" s="175"/>
      <c r="B73" s="448">
        <f>'Customs Invoice'!B71</f>
        <v>0</v>
      </c>
      <c r="C73" s="449" t="e">
        <f>'Customs Invoice'!C71</f>
        <v>#N/A</v>
      </c>
      <c r="D73" s="137" t="e">
        <f>VLOOKUP(F73,Sheet2!$A$2:$D$31,4,0)</f>
        <v>#N/A</v>
      </c>
      <c r="E73" s="450" t="e">
        <f>'Customs Invoice'!E71</f>
        <v>#N/A</v>
      </c>
      <c r="F73" s="188">
        <f>'Customs Invoice'!F71</f>
        <v>0</v>
      </c>
      <c r="G73" s="462">
        <f>'Customs Invoice'!G71</f>
        <v>0</v>
      </c>
      <c r="H73" s="463" t="e">
        <f>'Customs Invoice'!H71</f>
        <v>#N/A</v>
      </c>
      <c r="I73" s="464">
        <f>'Customs Invoice'!I71</f>
        <v>0</v>
      </c>
      <c r="J73" s="464">
        <f>'Customs Invoice'!J71</f>
        <v>0</v>
      </c>
      <c r="K73" s="478" t="e">
        <f t="shared" ref="K73" si="12">L73/G73</f>
        <v>#DIV/0!</v>
      </c>
      <c r="L73" s="465">
        <f>'Customs Invoice'!P71</f>
        <v>0</v>
      </c>
      <c r="M73" s="152"/>
      <c r="N73" s="153"/>
    </row>
    <row r="74" spans="1:14" s="135" customFormat="1" ht="18" hidden="1" customHeight="1">
      <c r="A74" s="175"/>
      <c r="B74" s="448"/>
      <c r="C74" s="450"/>
      <c r="D74" s="137" t="e">
        <f>VLOOKUP(F74,Sheet2!$A$2:$D$31,4,0)</f>
        <v>#N/A</v>
      </c>
      <c r="E74" s="450"/>
      <c r="F74" s="188" t="str">
        <f>F73&amp;1</f>
        <v>01</v>
      </c>
      <c r="G74" s="462"/>
      <c r="H74" s="463"/>
      <c r="I74" s="464"/>
      <c r="J74" s="464"/>
      <c r="K74" s="478"/>
      <c r="L74" s="465"/>
      <c r="M74" s="152"/>
      <c r="N74" s="153"/>
    </row>
    <row r="75" spans="1:14" s="135" customFormat="1" ht="18" hidden="1" customHeight="1">
      <c r="A75" s="175"/>
      <c r="B75" s="448">
        <f>'Customs Invoice'!B72</f>
        <v>0</v>
      </c>
      <c r="C75" s="449" t="e">
        <f>'Customs Invoice'!C72</f>
        <v>#N/A</v>
      </c>
      <c r="D75" s="137" t="e">
        <f>VLOOKUP(F75,Sheet2!$A$2:$D$31,4,0)</f>
        <v>#N/A</v>
      </c>
      <c r="E75" s="450" t="e">
        <f>'Customs Invoice'!E72</f>
        <v>#N/A</v>
      </c>
      <c r="F75" s="188">
        <f>'Customs Invoice'!F72</f>
        <v>0</v>
      </c>
      <c r="G75" s="462">
        <f>'Customs Invoice'!G72</f>
        <v>0</v>
      </c>
      <c r="H75" s="463" t="e">
        <f>'Customs Invoice'!H72</f>
        <v>#N/A</v>
      </c>
      <c r="I75" s="464">
        <f>'Customs Invoice'!I72</f>
        <v>0</v>
      </c>
      <c r="J75" s="464">
        <f>'Customs Invoice'!J72</f>
        <v>0</v>
      </c>
      <c r="K75" s="478" t="e">
        <f t="shared" ref="K75" si="13">L75/G75</f>
        <v>#DIV/0!</v>
      </c>
      <c r="L75" s="465">
        <f>'Customs Invoice'!P72</f>
        <v>0</v>
      </c>
      <c r="M75" s="152"/>
      <c r="N75" s="153"/>
    </row>
    <row r="76" spans="1:14" s="135" customFormat="1" ht="18" hidden="1" customHeight="1">
      <c r="A76" s="175"/>
      <c r="B76" s="448"/>
      <c r="C76" s="450"/>
      <c r="D76" s="137" t="e">
        <f>VLOOKUP(F76,Sheet2!$A$2:$D$31,4,0)</f>
        <v>#N/A</v>
      </c>
      <c r="E76" s="450"/>
      <c r="F76" s="188" t="str">
        <f>F75&amp;1</f>
        <v>01</v>
      </c>
      <c r="G76" s="462"/>
      <c r="H76" s="463"/>
      <c r="I76" s="464"/>
      <c r="J76" s="464"/>
      <c r="K76" s="478"/>
      <c r="L76" s="465"/>
      <c r="M76" s="152"/>
      <c r="N76" s="153"/>
    </row>
    <row r="77" spans="1:14" s="135" customFormat="1" ht="18" hidden="1" customHeight="1">
      <c r="A77" s="175"/>
      <c r="B77" s="448">
        <f>'Customs Invoice'!B73</f>
        <v>0</v>
      </c>
      <c r="C77" s="449" t="e">
        <f>'Customs Invoice'!C73</f>
        <v>#N/A</v>
      </c>
      <c r="D77" s="137" t="e">
        <f>VLOOKUP(F77,Sheet2!$A$2:$D$31,4,0)</f>
        <v>#N/A</v>
      </c>
      <c r="E77" s="450" t="e">
        <f>'Customs Invoice'!E73</f>
        <v>#N/A</v>
      </c>
      <c r="F77" s="188">
        <f>'Customs Invoice'!F73</f>
        <v>0</v>
      </c>
      <c r="G77" s="462">
        <f>'Customs Invoice'!G73</f>
        <v>0</v>
      </c>
      <c r="H77" s="463" t="e">
        <f>'Customs Invoice'!H73</f>
        <v>#N/A</v>
      </c>
      <c r="I77" s="464">
        <f>'Customs Invoice'!I73</f>
        <v>0</v>
      </c>
      <c r="J77" s="464">
        <f>'Customs Invoice'!J73</f>
        <v>0</v>
      </c>
      <c r="K77" s="478" t="e">
        <f t="shared" ref="K77" si="14">L77/G77</f>
        <v>#DIV/0!</v>
      </c>
      <c r="L77" s="465">
        <f>'Customs Invoice'!P73</f>
        <v>0</v>
      </c>
      <c r="M77" s="152"/>
      <c r="N77" s="153"/>
    </row>
    <row r="78" spans="1:14" s="135" customFormat="1" ht="18" hidden="1" customHeight="1">
      <c r="A78" s="175"/>
      <c r="B78" s="448"/>
      <c r="C78" s="450"/>
      <c r="D78" s="137" t="e">
        <f>VLOOKUP(F78,Sheet2!$A$2:$D$31,4,0)</f>
        <v>#N/A</v>
      </c>
      <c r="E78" s="450"/>
      <c r="F78" s="188" t="str">
        <f>F77&amp;1</f>
        <v>01</v>
      </c>
      <c r="G78" s="462"/>
      <c r="H78" s="463"/>
      <c r="I78" s="464"/>
      <c r="J78" s="464"/>
      <c r="K78" s="478"/>
      <c r="L78" s="465"/>
      <c r="M78" s="152"/>
      <c r="N78" s="153"/>
    </row>
    <row r="79" spans="1:14" s="135" customFormat="1" ht="18" hidden="1" customHeight="1">
      <c r="A79" s="175"/>
      <c r="B79" s="448">
        <f>'Customs Invoice'!B74</f>
        <v>0</v>
      </c>
      <c r="C79" s="449" t="e">
        <f>'Customs Invoice'!C74</f>
        <v>#N/A</v>
      </c>
      <c r="D79" s="137" t="e">
        <f>VLOOKUP(F79,Sheet2!$A$2:$D$31,4,0)</f>
        <v>#N/A</v>
      </c>
      <c r="E79" s="450" t="e">
        <f>'Customs Invoice'!E74</f>
        <v>#N/A</v>
      </c>
      <c r="F79" s="188">
        <f>'Customs Invoice'!F74</f>
        <v>0</v>
      </c>
      <c r="G79" s="462">
        <f>'Customs Invoice'!G74</f>
        <v>0</v>
      </c>
      <c r="H79" s="463" t="e">
        <f>'Customs Invoice'!H74</f>
        <v>#N/A</v>
      </c>
      <c r="I79" s="464">
        <f>'Customs Invoice'!I74</f>
        <v>0</v>
      </c>
      <c r="J79" s="464">
        <f>'Customs Invoice'!J74</f>
        <v>0</v>
      </c>
      <c r="K79" s="478" t="e">
        <f t="shared" ref="K79" si="15">L79/G79</f>
        <v>#DIV/0!</v>
      </c>
      <c r="L79" s="465">
        <f>'Customs Invoice'!P74</f>
        <v>0</v>
      </c>
      <c r="M79" s="152"/>
      <c r="N79" s="153"/>
    </row>
    <row r="80" spans="1:14" s="135" customFormat="1" ht="18" hidden="1" customHeight="1">
      <c r="A80" s="175"/>
      <c r="B80" s="448"/>
      <c r="C80" s="450"/>
      <c r="D80" s="137" t="e">
        <f>VLOOKUP(F80,Sheet2!$A$2:$D$31,4,0)</f>
        <v>#N/A</v>
      </c>
      <c r="E80" s="450"/>
      <c r="F80" s="188" t="str">
        <f>F79&amp;1</f>
        <v>01</v>
      </c>
      <c r="G80" s="462"/>
      <c r="H80" s="463"/>
      <c r="I80" s="464"/>
      <c r="J80" s="464"/>
      <c r="K80" s="478"/>
      <c r="L80" s="465"/>
      <c r="M80" s="152"/>
      <c r="N80" s="153"/>
    </row>
    <row r="81" spans="1:14" s="135" customFormat="1" ht="18" hidden="1" customHeight="1">
      <c r="A81" s="175"/>
      <c r="B81" s="448">
        <f>'Customs Invoice'!B75</f>
        <v>0</v>
      </c>
      <c r="C81" s="449" t="e">
        <f>'Customs Invoice'!C75</f>
        <v>#N/A</v>
      </c>
      <c r="D81" s="137" t="e">
        <f>VLOOKUP(F81,Sheet2!$A$2:$D$31,4,0)</f>
        <v>#N/A</v>
      </c>
      <c r="E81" s="450" t="e">
        <f>'Customs Invoice'!E75</f>
        <v>#N/A</v>
      </c>
      <c r="F81" s="188">
        <f>'Customs Invoice'!F75</f>
        <v>0</v>
      </c>
      <c r="G81" s="462">
        <f>'Customs Invoice'!G75</f>
        <v>0</v>
      </c>
      <c r="H81" s="463" t="e">
        <f>'Customs Invoice'!H75</f>
        <v>#N/A</v>
      </c>
      <c r="I81" s="464">
        <f>'Customs Invoice'!I75</f>
        <v>0</v>
      </c>
      <c r="J81" s="464">
        <f>'Customs Invoice'!J75</f>
        <v>0</v>
      </c>
      <c r="K81" s="478" t="e">
        <f t="shared" ref="K81" si="16">L81/G81</f>
        <v>#DIV/0!</v>
      </c>
      <c r="L81" s="465">
        <f>'Customs Invoice'!P75</f>
        <v>0</v>
      </c>
      <c r="M81" s="152"/>
      <c r="N81" s="153"/>
    </row>
    <row r="82" spans="1:14" s="135" customFormat="1" ht="18" hidden="1" customHeight="1">
      <c r="A82" s="175"/>
      <c r="B82" s="448"/>
      <c r="C82" s="450"/>
      <c r="D82" s="137" t="e">
        <f>VLOOKUP(F82,Sheet2!$A$2:$D$31,4,0)</f>
        <v>#N/A</v>
      </c>
      <c r="E82" s="450"/>
      <c r="F82" s="188" t="str">
        <f>F81&amp;1</f>
        <v>01</v>
      </c>
      <c r="G82" s="462"/>
      <c r="H82" s="463"/>
      <c r="I82" s="464"/>
      <c r="J82" s="464"/>
      <c r="K82" s="478"/>
      <c r="L82" s="465"/>
      <c r="M82" s="152"/>
      <c r="N82" s="153"/>
    </row>
    <row r="83" spans="1:14" s="135" customFormat="1" ht="18" hidden="1" customHeight="1">
      <c r="A83" s="175"/>
      <c r="B83" s="448">
        <f>'Customs Invoice'!B76</f>
        <v>0</v>
      </c>
      <c r="C83" s="449" t="e">
        <f>'Customs Invoice'!C76</f>
        <v>#N/A</v>
      </c>
      <c r="D83" s="137" t="e">
        <f>VLOOKUP(F83,Sheet2!$A$2:$D$31,4,0)</f>
        <v>#N/A</v>
      </c>
      <c r="E83" s="450" t="e">
        <f>'Customs Invoice'!E76</f>
        <v>#N/A</v>
      </c>
      <c r="F83" s="188">
        <f>'Customs Invoice'!F76</f>
        <v>0</v>
      </c>
      <c r="G83" s="462">
        <f>'Customs Invoice'!G76</f>
        <v>0</v>
      </c>
      <c r="H83" s="463" t="e">
        <f>'Customs Invoice'!H76</f>
        <v>#N/A</v>
      </c>
      <c r="I83" s="464">
        <f>'Customs Invoice'!I76</f>
        <v>0</v>
      </c>
      <c r="J83" s="464">
        <f>'Customs Invoice'!J76</f>
        <v>0</v>
      </c>
      <c r="K83" s="478" t="e">
        <f t="shared" ref="K83" si="17">L83/G83</f>
        <v>#DIV/0!</v>
      </c>
      <c r="L83" s="465">
        <f>'Customs Invoice'!P76</f>
        <v>0</v>
      </c>
      <c r="M83" s="152"/>
      <c r="N83" s="153"/>
    </row>
    <row r="84" spans="1:14" s="135" customFormat="1" ht="18" hidden="1" customHeight="1">
      <c r="A84" s="175"/>
      <c r="B84" s="448"/>
      <c r="C84" s="450"/>
      <c r="D84" s="137" t="e">
        <f>VLOOKUP(F84,Sheet2!$A$2:$D$31,4,0)</f>
        <v>#N/A</v>
      </c>
      <c r="E84" s="450"/>
      <c r="F84" s="188" t="str">
        <f>F83&amp;1</f>
        <v>01</v>
      </c>
      <c r="G84" s="462"/>
      <c r="H84" s="463"/>
      <c r="I84" s="464"/>
      <c r="J84" s="464"/>
      <c r="K84" s="478"/>
      <c r="L84" s="465"/>
      <c r="M84" s="152"/>
      <c r="N84" s="153"/>
    </row>
    <row r="85" spans="1:14" s="135" customFormat="1" ht="18" hidden="1" customHeight="1">
      <c r="A85" s="175"/>
      <c r="B85" s="448">
        <f>'Customs Invoice'!B77</f>
        <v>0</v>
      </c>
      <c r="C85" s="449" t="e">
        <f>'Customs Invoice'!C77</f>
        <v>#N/A</v>
      </c>
      <c r="D85" s="137" t="e">
        <f>VLOOKUP(F85,Sheet2!$A$2:$D$31,4,0)</f>
        <v>#N/A</v>
      </c>
      <c r="E85" s="450" t="e">
        <f>'Customs Invoice'!E77</f>
        <v>#N/A</v>
      </c>
      <c r="F85" s="188">
        <f>'Customs Invoice'!F77</f>
        <v>0</v>
      </c>
      <c r="G85" s="462">
        <f>'Customs Invoice'!G77</f>
        <v>0</v>
      </c>
      <c r="H85" s="463" t="e">
        <f>'Customs Invoice'!H77</f>
        <v>#N/A</v>
      </c>
      <c r="I85" s="464">
        <f>'Customs Invoice'!I77</f>
        <v>0</v>
      </c>
      <c r="J85" s="464">
        <f>'Customs Invoice'!J77</f>
        <v>0</v>
      </c>
      <c r="K85" s="478" t="e">
        <f t="shared" ref="K85" si="18">L85/G85</f>
        <v>#DIV/0!</v>
      </c>
      <c r="L85" s="465">
        <f>'Customs Invoice'!P77</f>
        <v>0</v>
      </c>
      <c r="M85" s="152"/>
      <c r="N85" s="153"/>
    </row>
    <row r="86" spans="1:14" s="135" customFormat="1" ht="18" hidden="1" customHeight="1">
      <c r="A86" s="175"/>
      <c r="B86" s="448"/>
      <c r="C86" s="450"/>
      <c r="D86" s="137" t="e">
        <f>VLOOKUP(F86,Sheet2!$A$2:$D$31,4,0)</f>
        <v>#N/A</v>
      </c>
      <c r="E86" s="450"/>
      <c r="F86" s="188" t="str">
        <f>F85&amp;1</f>
        <v>01</v>
      </c>
      <c r="G86" s="462"/>
      <c r="H86" s="463"/>
      <c r="I86" s="464"/>
      <c r="J86" s="464"/>
      <c r="K86" s="478"/>
      <c r="L86" s="465"/>
      <c r="M86" s="152"/>
      <c r="N86" s="153"/>
    </row>
    <row r="87" spans="1:14" s="135" customFormat="1" ht="18" hidden="1" customHeight="1">
      <c r="A87" s="175"/>
      <c r="B87" s="448">
        <f>'Customs Invoice'!B78</f>
        <v>0</v>
      </c>
      <c r="C87" s="449" t="e">
        <f>'Customs Invoice'!C78</f>
        <v>#N/A</v>
      </c>
      <c r="D87" s="137" t="e">
        <f>VLOOKUP(F87,Sheet2!$A$2:$D$31,4,0)</f>
        <v>#N/A</v>
      </c>
      <c r="E87" s="450" t="e">
        <f>'Customs Invoice'!E78</f>
        <v>#N/A</v>
      </c>
      <c r="F87" s="188">
        <f>'Customs Invoice'!F78</f>
        <v>0</v>
      </c>
      <c r="G87" s="462">
        <f>'Customs Invoice'!G78</f>
        <v>0</v>
      </c>
      <c r="H87" s="463" t="e">
        <f>'Customs Invoice'!H78</f>
        <v>#N/A</v>
      </c>
      <c r="I87" s="464">
        <f>'Customs Invoice'!I78</f>
        <v>0</v>
      </c>
      <c r="J87" s="464">
        <f>'Customs Invoice'!J78</f>
        <v>0</v>
      </c>
      <c r="K87" s="478" t="e">
        <f t="shared" ref="K87" si="19">L87/G87</f>
        <v>#DIV/0!</v>
      </c>
      <c r="L87" s="465">
        <f>'Customs Invoice'!P78</f>
        <v>0</v>
      </c>
      <c r="M87" s="152"/>
      <c r="N87" s="153"/>
    </row>
    <row r="88" spans="1:14" s="135" customFormat="1" ht="18" hidden="1" customHeight="1" thickBot="1">
      <c r="A88" s="175"/>
      <c r="B88" s="470"/>
      <c r="C88" s="450"/>
      <c r="D88" s="189" t="e">
        <f>VLOOKUP(F88,Sheet2!$A$2:$D$31,4,0)</f>
        <v>#N/A</v>
      </c>
      <c r="E88" s="471"/>
      <c r="F88" s="190" t="str">
        <f>F87&amp;1</f>
        <v>01</v>
      </c>
      <c r="G88" s="472"/>
      <c r="H88" s="473"/>
      <c r="I88" s="466"/>
      <c r="J88" s="466"/>
      <c r="K88" s="479"/>
      <c r="L88" s="467"/>
      <c r="M88" s="152"/>
      <c r="N88" s="153"/>
    </row>
    <row r="89" spans="1:14" s="135" customFormat="1" ht="30" hidden="1" customHeight="1" thickBot="1">
      <c r="A89" s="175"/>
      <c r="B89" s="468" t="s">
        <v>38</v>
      </c>
      <c r="C89" s="469"/>
      <c r="D89" s="469"/>
      <c r="E89" s="469"/>
      <c r="F89" s="191"/>
      <c r="G89" s="480">
        <f>SUM(G69:G88)</f>
        <v>0</v>
      </c>
      <c r="H89" s="481"/>
      <c r="I89" s="192">
        <f>SUM(I69:I88)</f>
        <v>0</v>
      </c>
      <c r="J89" s="192">
        <f>SUM(J69:J88)</f>
        <v>0</v>
      </c>
      <c r="K89" s="203"/>
      <c r="L89" s="193">
        <f>SUM(L69:L88)</f>
        <v>0</v>
      </c>
      <c r="M89" s="152"/>
      <c r="N89" s="153"/>
    </row>
    <row r="90" spans="1:14" s="135" customFormat="1" ht="29.5" hidden="1" customHeight="1">
      <c r="A90" s="172"/>
      <c r="B90" s="173"/>
      <c r="C90" s="102"/>
      <c r="D90" s="173"/>
      <c r="E90" s="173"/>
      <c r="F90" s="173"/>
      <c r="G90" s="173"/>
      <c r="H90" s="174"/>
      <c r="I90" s="175"/>
      <c r="J90" s="173"/>
      <c r="K90" s="161"/>
      <c r="L90" s="175"/>
      <c r="M90" s="152"/>
      <c r="N90" s="153"/>
    </row>
    <row r="91" spans="1:14" s="135" customFormat="1" ht="25.5" hidden="1" customHeight="1" thickBot="1">
      <c r="A91" s="175"/>
      <c r="B91" s="176" t="s">
        <v>139</v>
      </c>
      <c r="C91" s="102"/>
      <c r="D91" s="177"/>
      <c r="E91" s="173"/>
      <c r="F91" s="173"/>
      <c r="G91" s="173"/>
      <c r="H91" s="173"/>
      <c r="I91" s="117"/>
      <c r="J91" s="178"/>
      <c r="K91" s="179"/>
      <c r="L91" s="179"/>
      <c r="M91" s="152"/>
      <c r="N91" s="153"/>
    </row>
    <row r="92" spans="1:14" s="135" customFormat="1" ht="41" hidden="1" customHeight="1" thickBot="1">
      <c r="A92" s="180"/>
      <c r="B92" s="181" t="s">
        <v>27</v>
      </c>
      <c r="C92" s="182" t="s">
        <v>131</v>
      </c>
      <c r="D92" s="182" t="s">
        <v>132</v>
      </c>
      <c r="E92" s="183" t="s">
        <v>133</v>
      </c>
      <c r="F92" s="183" t="s">
        <v>31</v>
      </c>
      <c r="G92" s="445" t="s">
        <v>134</v>
      </c>
      <c r="H92" s="446"/>
      <c r="I92" s="183" t="s">
        <v>33</v>
      </c>
      <c r="J92" s="184" t="s">
        <v>34</v>
      </c>
      <c r="K92" s="185" t="s">
        <v>135</v>
      </c>
      <c r="L92" s="186" t="s">
        <v>136</v>
      </c>
      <c r="M92" s="152"/>
      <c r="N92" s="153"/>
    </row>
    <row r="93" spans="1:14" s="135" customFormat="1" ht="18" hidden="1" customHeight="1">
      <c r="A93" s="175"/>
      <c r="B93" s="447">
        <f>'Customs Invoice'!B93</f>
        <v>0</v>
      </c>
      <c r="C93" s="449" t="e">
        <f>'Customs Invoice'!C93</f>
        <v>#N/A</v>
      </c>
      <c r="D93" s="138" t="e">
        <f>VLOOKUP(F93,Sheet2!$A$2:$D$31,4,0)</f>
        <v>#N/A</v>
      </c>
      <c r="E93" s="451" t="e">
        <f>'Customs Invoice'!E93</f>
        <v>#N/A</v>
      </c>
      <c r="F93" s="187">
        <f>'Customs Invoice'!F93</f>
        <v>0</v>
      </c>
      <c r="G93" s="452">
        <f>'Customs Invoice'!G93</f>
        <v>0</v>
      </c>
      <c r="H93" s="454" t="e">
        <f>'Customs Invoice'!H93</f>
        <v>#N/A</v>
      </c>
      <c r="I93" s="456">
        <f>'Customs Invoice'!I93</f>
        <v>0</v>
      </c>
      <c r="J93" s="456">
        <f>'Customs Invoice'!J93</f>
        <v>0</v>
      </c>
      <c r="K93" s="474" t="e">
        <f t="shared" ref="K93" si="20">L93/G93</f>
        <v>#DIV/0!</v>
      </c>
      <c r="L93" s="458">
        <f>'Customs Invoice'!P93</f>
        <v>0</v>
      </c>
      <c r="M93" s="152"/>
      <c r="N93" s="153"/>
    </row>
    <row r="94" spans="1:14" s="135" customFormat="1" ht="18" hidden="1" customHeight="1">
      <c r="A94" s="175"/>
      <c r="B94" s="448"/>
      <c r="C94" s="450"/>
      <c r="D94" s="137" t="e">
        <f>VLOOKUP(F94,Sheet2!$A$2:$D$31,4,0)</f>
        <v>#N/A</v>
      </c>
      <c r="E94" s="449"/>
      <c r="F94" s="188" t="str">
        <f>F93&amp;1</f>
        <v>01</v>
      </c>
      <c r="G94" s="453"/>
      <c r="H94" s="455"/>
      <c r="I94" s="457"/>
      <c r="J94" s="457"/>
      <c r="K94" s="475"/>
      <c r="L94" s="459"/>
      <c r="M94" s="152"/>
      <c r="N94" s="153"/>
    </row>
    <row r="95" spans="1:14" s="135" customFormat="1" ht="18" hidden="1" customHeight="1">
      <c r="A95" s="175"/>
      <c r="B95" s="448">
        <f>'Customs Invoice'!B94</f>
        <v>0</v>
      </c>
      <c r="C95" s="449" t="e">
        <f>'Customs Invoice'!C94</f>
        <v>#N/A</v>
      </c>
      <c r="D95" s="137" t="e">
        <f>VLOOKUP(F95,Sheet2!$A$2:$D$31,4,0)</f>
        <v>#N/A</v>
      </c>
      <c r="E95" s="450" t="e">
        <f>'Customs Invoice'!E94</f>
        <v>#N/A</v>
      </c>
      <c r="F95" s="188">
        <f>'Customs Invoice'!F94</f>
        <v>0</v>
      </c>
      <c r="G95" s="462">
        <f>'Customs Invoice'!G94</f>
        <v>0</v>
      </c>
      <c r="H95" s="463" t="e">
        <f>'Customs Invoice'!H94</f>
        <v>#N/A</v>
      </c>
      <c r="I95" s="464">
        <f>'Customs Invoice'!I94</f>
        <v>0</v>
      </c>
      <c r="J95" s="464">
        <f>'Customs Invoice'!J94</f>
        <v>0</v>
      </c>
      <c r="K95" s="478" t="e">
        <f t="shared" ref="K95" si="21">L95/G95</f>
        <v>#DIV/0!</v>
      </c>
      <c r="L95" s="465">
        <f>'Customs Invoice'!P94</f>
        <v>0</v>
      </c>
      <c r="M95" s="152"/>
      <c r="N95" s="153"/>
    </row>
    <row r="96" spans="1:14" s="135" customFormat="1" ht="18" hidden="1" customHeight="1">
      <c r="A96" s="175"/>
      <c r="B96" s="448"/>
      <c r="C96" s="450"/>
      <c r="D96" s="137" t="e">
        <f>VLOOKUP(F96,Sheet2!$A$2:$D$31,4,0)</f>
        <v>#N/A</v>
      </c>
      <c r="E96" s="450"/>
      <c r="F96" s="188" t="str">
        <f>F95&amp;1</f>
        <v>01</v>
      </c>
      <c r="G96" s="462"/>
      <c r="H96" s="463"/>
      <c r="I96" s="464"/>
      <c r="J96" s="464"/>
      <c r="K96" s="478"/>
      <c r="L96" s="465"/>
      <c r="M96" s="152"/>
      <c r="N96" s="153"/>
    </row>
    <row r="97" spans="1:14" s="135" customFormat="1" ht="18" hidden="1" customHeight="1">
      <c r="A97" s="175"/>
      <c r="B97" s="448">
        <f>'Customs Invoice'!B95</f>
        <v>0</v>
      </c>
      <c r="C97" s="449" t="e">
        <f>'Customs Invoice'!C95</f>
        <v>#N/A</v>
      </c>
      <c r="D97" s="137" t="e">
        <f>VLOOKUP(F97,Sheet2!$A$2:$D$31,4,0)</f>
        <v>#N/A</v>
      </c>
      <c r="E97" s="450" t="e">
        <f>'Customs Invoice'!E95</f>
        <v>#N/A</v>
      </c>
      <c r="F97" s="188">
        <f>'Customs Invoice'!F95</f>
        <v>0</v>
      </c>
      <c r="G97" s="462">
        <f>'Customs Invoice'!G95</f>
        <v>0</v>
      </c>
      <c r="H97" s="463" t="e">
        <f>'Customs Invoice'!H95</f>
        <v>#N/A</v>
      </c>
      <c r="I97" s="464">
        <f>'Customs Invoice'!I95</f>
        <v>0</v>
      </c>
      <c r="J97" s="464">
        <f>'Customs Invoice'!J95</f>
        <v>0</v>
      </c>
      <c r="K97" s="478" t="e">
        <f t="shared" ref="K97" si="22">L97/G97</f>
        <v>#DIV/0!</v>
      </c>
      <c r="L97" s="465">
        <f>'Customs Invoice'!P95</f>
        <v>0</v>
      </c>
      <c r="M97" s="152"/>
      <c r="N97" s="153"/>
    </row>
    <row r="98" spans="1:14" s="135" customFormat="1" ht="18" hidden="1" customHeight="1">
      <c r="A98" s="175"/>
      <c r="B98" s="448"/>
      <c r="C98" s="450"/>
      <c r="D98" s="137" t="e">
        <f>VLOOKUP(F98,Sheet2!$A$2:$D$31,4,0)</f>
        <v>#N/A</v>
      </c>
      <c r="E98" s="450"/>
      <c r="F98" s="188" t="str">
        <f>F97&amp;1</f>
        <v>01</v>
      </c>
      <c r="G98" s="462"/>
      <c r="H98" s="463"/>
      <c r="I98" s="464"/>
      <c r="J98" s="464"/>
      <c r="K98" s="478"/>
      <c r="L98" s="465"/>
      <c r="M98" s="152"/>
      <c r="N98" s="153"/>
    </row>
    <row r="99" spans="1:14" s="135" customFormat="1" ht="18" hidden="1" customHeight="1">
      <c r="A99" s="175"/>
      <c r="B99" s="448">
        <f>'Customs Invoice'!B96</f>
        <v>0</v>
      </c>
      <c r="C99" s="449" t="e">
        <f>'Customs Invoice'!C96</f>
        <v>#N/A</v>
      </c>
      <c r="D99" s="137" t="e">
        <f>VLOOKUP(F99,Sheet2!$A$2:$D$31,4,0)</f>
        <v>#N/A</v>
      </c>
      <c r="E99" s="450" t="e">
        <f>'Customs Invoice'!E96</f>
        <v>#N/A</v>
      </c>
      <c r="F99" s="188">
        <f>'Customs Invoice'!F96</f>
        <v>0</v>
      </c>
      <c r="G99" s="462">
        <f>'Customs Invoice'!G96</f>
        <v>0</v>
      </c>
      <c r="H99" s="463" t="e">
        <f>'Customs Invoice'!H96</f>
        <v>#N/A</v>
      </c>
      <c r="I99" s="464">
        <f>'Customs Invoice'!I96</f>
        <v>0</v>
      </c>
      <c r="J99" s="464">
        <f>'Customs Invoice'!J96</f>
        <v>0</v>
      </c>
      <c r="K99" s="478" t="e">
        <f t="shared" ref="K99" si="23">L99/G99</f>
        <v>#DIV/0!</v>
      </c>
      <c r="L99" s="465">
        <f>'Customs Invoice'!P96</f>
        <v>0</v>
      </c>
      <c r="M99" s="152"/>
      <c r="N99" s="153"/>
    </row>
    <row r="100" spans="1:14" s="135" customFormat="1" ht="18" hidden="1" customHeight="1">
      <c r="A100" s="175"/>
      <c r="B100" s="448"/>
      <c r="C100" s="450"/>
      <c r="D100" s="137" t="e">
        <f>VLOOKUP(F100,Sheet2!$A$2:$D$31,4,0)</f>
        <v>#N/A</v>
      </c>
      <c r="E100" s="450"/>
      <c r="F100" s="188" t="str">
        <f>F99&amp;1</f>
        <v>01</v>
      </c>
      <c r="G100" s="462"/>
      <c r="H100" s="463"/>
      <c r="I100" s="464"/>
      <c r="J100" s="464"/>
      <c r="K100" s="478"/>
      <c r="L100" s="465"/>
      <c r="M100" s="152"/>
      <c r="N100" s="153"/>
    </row>
    <row r="101" spans="1:14" s="135" customFormat="1" ht="18" hidden="1" customHeight="1">
      <c r="A101" s="175"/>
      <c r="B101" s="448">
        <f>'Customs Invoice'!B97</f>
        <v>0</v>
      </c>
      <c r="C101" s="449" t="e">
        <f>'Customs Invoice'!C97</f>
        <v>#N/A</v>
      </c>
      <c r="D101" s="137" t="e">
        <f>VLOOKUP(F101,Sheet2!$A$2:$D$31,4,0)</f>
        <v>#N/A</v>
      </c>
      <c r="E101" s="450" t="e">
        <f>'Customs Invoice'!E97</f>
        <v>#N/A</v>
      </c>
      <c r="F101" s="188">
        <f>'Customs Invoice'!F97</f>
        <v>0</v>
      </c>
      <c r="G101" s="462">
        <f>'Customs Invoice'!G97</f>
        <v>0</v>
      </c>
      <c r="H101" s="463" t="e">
        <f>'Customs Invoice'!H97</f>
        <v>#N/A</v>
      </c>
      <c r="I101" s="464">
        <f>'Customs Invoice'!I97</f>
        <v>0</v>
      </c>
      <c r="J101" s="464">
        <f>'Customs Invoice'!J97</f>
        <v>0</v>
      </c>
      <c r="K101" s="478" t="e">
        <f t="shared" ref="K101" si="24">L101/G101</f>
        <v>#DIV/0!</v>
      </c>
      <c r="L101" s="465">
        <f>'Customs Invoice'!P97</f>
        <v>0</v>
      </c>
      <c r="M101" s="152"/>
      <c r="N101" s="153"/>
    </row>
    <row r="102" spans="1:14" s="135" customFormat="1" ht="18" hidden="1" customHeight="1">
      <c r="A102" s="175"/>
      <c r="B102" s="448"/>
      <c r="C102" s="450"/>
      <c r="D102" s="137" t="e">
        <f>VLOOKUP(F102,Sheet2!$A$2:$D$31,4,0)</f>
        <v>#N/A</v>
      </c>
      <c r="E102" s="450"/>
      <c r="F102" s="188" t="str">
        <f>F101&amp;1</f>
        <v>01</v>
      </c>
      <c r="G102" s="462"/>
      <c r="H102" s="463"/>
      <c r="I102" s="464"/>
      <c r="J102" s="464"/>
      <c r="K102" s="478"/>
      <c r="L102" s="465"/>
      <c r="M102" s="152"/>
      <c r="N102" s="153"/>
    </row>
    <row r="103" spans="1:14" s="135" customFormat="1" ht="18" hidden="1" customHeight="1">
      <c r="A103" s="175"/>
      <c r="B103" s="448">
        <f>'Customs Invoice'!B98</f>
        <v>0</v>
      </c>
      <c r="C103" s="449" t="e">
        <f>'Customs Invoice'!C98</f>
        <v>#N/A</v>
      </c>
      <c r="D103" s="137" t="e">
        <f>VLOOKUP(F103,Sheet2!$A$2:$D$31,4,0)</f>
        <v>#N/A</v>
      </c>
      <c r="E103" s="450" t="e">
        <f>'Customs Invoice'!E98</f>
        <v>#N/A</v>
      </c>
      <c r="F103" s="188">
        <f>'Customs Invoice'!F98</f>
        <v>0</v>
      </c>
      <c r="G103" s="462">
        <f>'Customs Invoice'!G98</f>
        <v>0</v>
      </c>
      <c r="H103" s="463" t="e">
        <f>'Customs Invoice'!H98</f>
        <v>#N/A</v>
      </c>
      <c r="I103" s="464">
        <f>'Customs Invoice'!I98</f>
        <v>0</v>
      </c>
      <c r="J103" s="464">
        <f>'Customs Invoice'!J98</f>
        <v>0</v>
      </c>
      <c r="K103" s="478" t="e">
        <f t="shared" ref="K103" si="25">L103/G103</f>
        <v>#DIV/0!</v>
      </c>
      <c r="L103" s="465">
        <f>'Customs Invoice'!P98</f>
        <v>0</v>
      </c>
      <c r="M103" s="152"/>
      <c r="N103" s="153"/>
    </row>
    <row r="104" spans="1:14" s="135" customFormat="1" ht="18" hidden="1" customHeight="1">
      <c r="A104" s="175"/>
      <c r="B104" s="448"/>
      <c r="C104" s="450"/>
      <c r="D104" s="137" t="e">
        <f>VLOOKUP(F104,Sheet2!$A$2:$D$31,4,0)</f>
        <v>#N/A</v>
      </c>
      <c r="E104" s="450"/>
      <c r="F104" s="188" t="str">
        <f>F103&amp;1</f>
        <v>01</v>
      </c>
      <c r="G104" s="462"/>
      <c r="H104" s="463"/>
      <c r="I104" s="464"/>
      <c r="J104" s="464"/>
      <c r="K104" s="478"/>
      <c r="L104" s="465"/>
      <c r="M104" s="152"/>
      <c r="N104" s="153"/>
    </row>
    <row r="105" spans="1:14" s="135" customFormat="1" ht="18" hidden="1" customHeight="1">
      <c r="A105" s="175"/>
      <c r="B105" s="448">
        <f>'Customs Invoice'!B99</f>
        <v>0</v>
      </c>
      <c r="C105" s="449" t="e">
        <f>'Customs Invoice'!C99</f>
        <v>#N/A</v>
      </c>
      <c r="D105" s="137" t="e">
        <f>VLOOKUP(F105,Sheet2!$A$2:$D$31,4,0)</f>
        <v>#N/A</v>
      </c>
      <c r="E105" s="450" t="e">
        <f>'Customs Invoice'!E99</f>
        <v>#N/A</v>
      </c>
      <c r="F105" s="188">
        <f>'Customs Invoice'!F99</f>
        <v>0</v>
      </c>
      <c r="G105" s="462">
        <f>'Customs Invoice'!G99</f>
        <v>0</v>
      </c>
      <c r="H105" s="463" t="e">
        <f>'Customs Invoice'!H99</f>
        <v>#N/A</v>
      </c>
      <c r="I105" s="464">
        <f>'Customs Invoice'!I99</f>
        <v>0</v>
      </c>
      <c r="J105" s="464">
        <f>'Customs Invoice'!J99</f>
        <v>0</v>
      </c>
      <c r="K105" s="478" t="e">
        <f t="shared" ref="K105" si="26">L105/G105</f>
        <v>#DIV/0!</v>
      </c>
      <c r="L105" s="465">
        <f>'Customs Invoice'!P99</f>
        <v>0</v>
      </c>
      <c r="M105" s="152"/>
      <c r="N105" s="153"/>
    </row>
    <row r="106" spans="1:14" s="135" customFormat="1" ht="18" hidden="1" customHeight="1">
      <c r="A106" s="175"/>
      <c r="B106" s="448"/>
      <c r="C106" s="450"/>
      <c r="D106" s="137" t="e">
        <f>VLOOKUP(F106,Sheet2!$A$2:$D$31,4,0)</f>
        <v>#N/A</v>
      </c>
      <c r="E106" s="450"/>
      <c r="F106" s="188" t="str">
        <f>F105&amp;1</f>
        <v>01</v>
      </c>
      <c r="G106" s="462"/>
      <c r="H106" s="463"/>
      <c r="I106" s="464"/>
      <c r="J106" s="464"/>
      <c r="K106" s="478"/>
      <c r="L106" s="465"/>
      <c r="M106" s="152"/>
      <c r="N106" s="153"/>
    </row>
    <row r="107" spans="1:14" s="135" customFormat="1" ht="18" hidden="1" customHeight="1">
      <c r="A107" s="175"/>
      <c r="B107" s="448">
        <f>'Customs Invoice'!B100</f>
        <v>0</v>
      </c>
      <c r="C107" s="449" t="e">
        <f>'Customs Invoice'!C100</f>
        <v>#N/A</v>
      </c>
      <c r="D107" s="137" t="e">
        <f>VLOOKUP(F107,Sheet2!$A$2:$D$31,4,0)</f>
        <v>#N/A</v>
      </c>
      <c r="E107" s="450" t="e">
        <f>'Customs Invoice'!E100</f>
        <v>#N/A</v>
      </c>
      <c r="F107" s="188">
        <f>'Customs Invoice'!F100</f>
        <v>0</v>
      </c>
      <c r="G107" s="462">
        <f>'Customs Invoice'!G100</f>
        <v>0</v>
      </c>
      <c r="H107" s="463" t="e">
        <f>'Customs Invoice'!H100</f>
        <v>#N/A</v>
      </c>
      <c r="I107" s="464">
        <f>'Customs Invoice'!I100</f>
        <v>0</v>
      </c>
      <c r="J107" s="464">
        <f>'Customs Invoice'!J100</f>
        <v>0</v>
      </c>
      <c r="K107" s="478" t="e">
        <f t="shared" ref="K107" si="27">L107/G107</f>
        <v>#DIV/0!</v>
      </c>
      <c r="L107" s="465">
        <f>'Customs Invoice'!P100</f>
        <v>0</v>
      </c>
      <c r="M107" s="152"/>
      <c r="N107" s="153"/>
    </row>
    <row r="108" spans="1:14" s="135" customFormat="1" ht="18" hidden="1" customHeight="1">
      <c r="A108" s="175"/>
      <c r="B108" s="448"/>
      <c r="C108" s="450"/>
      <c r="D108" s="137" t="e">
        <f>VLOOKUP(F108,Sheet2!$A$2:$D$31,4,0)</f>
        <v>#N/A</v>
      </c>
      <c r="E108" s="450"/>
      <c r="F108" s="188" t="str">
        <f>F107&amp;1</f>
        <v>01</v>
      </c>
      <c r="G108" s="462"/>
      <c r="H108" s="463"/>
      <c r="I108" s="464"/>
      <c r="J108" s="464"/>
      <c r="K108" s="478"/>
      <c r="L108" s="465"/>
      <c r="M108" s="152"/>
      <c r="N108" s="153"/>
    </row>
    <row r="109" spans="1:14" s="135" customFormat="1" ht="18" hidden="1" customHeight="1">
      <c r="A109" s="175"/>
      <c r="B109" s="448">
        <f>'Customs Invoice'!B101</f>
        <v>0</v>
      </c>
      <c r="C109" s="449" t="e">
        <f>'Customs Invoice'!C101</f>
        <v>#N/A</v>
      </c>
      <c r="D109" s="137" t="e">
        <f>VLOOKUP(F109,Sheet2!$A$2:$D$31,4,0)</f>
        <v>#N/A</v>
      </c>
      <c r="E109" s="450" t="e">
        <f>'Customs Invoice'!E101</f>
        <v>#N/A</v>
      </c>
      <c r="F109" s="188">
        <f>'Customs Invoice'!F101</f>
        <v>0</v>
      </c>
      <c r="G109" s="462">
        <f>'Customs Invoice'!G101</f>
        <v>0</v>
      </c>
      <c r="H109" s="463" t="e">
        <f>'Customs Invoice'!H101</f>
        <v>#N/A</v>
      </c>
      <c r="I109" s="464">
        <f>'Customs Invoice'!I101</f>
        <v>0</v>
      </c>
      <c r="J109" s="464">
        <f>'Customs Invoice'!J101</f>
        <v>0</v>
      </c>
      <c r="K109" s="478" t="e">
        <f t="shared" ref="K109" si="28">L109/G109</f>
        <v>#DIV/0!</v>
      </c>
      <c r="L109" s="465">
        <f>'Customs Invoice'!P101</f>
        <v>0</v>
      </c>
      <c r="M109" s="152"/>
      <c r="N109" s="153"/>
    </row>
    <row r="110" spans="1:14" s="135" customFormat="1" ht="18" hidden="1" customHeight="1">
      <c r="A110" s="175"/>
      <c r="B110" s="448"/>
      <c r="C110" s="450"/>
      <c r="D110" s="137" t="e">
        <f>VLOOKUP(F110,Sheet2!$A$2:$D$31,4,0)</f>
        <v>#N/A</v>
      </c>
      <c r="E110" s="450"/>
      <c r="F110" s="188" t="str">
        <f>F109&amp;1</f>
        <v>01</v>
      </c>
      <c r="G110" s="462"/>
      <c r="H110" s="463"/>
      <c r="I110" s="464"/>
      <c r="J110" s="464"/>
      <c r="K110" s="478"/>
      <c r="L110" s="465"/>
      <c r="M110" s="152"/>
      <c r="N110" s="153"/>
    </row>
    <row r="111" spans="1:14" s="135" customFormat="1" ht="18" hidden="1" customHeight="1">
      <c r="A111" s="175"/>
      <c r="B111" s="448">
        <f>'Customs Invoice'!B102</f>
        <v>0</v>
      </c>
      <c r="C111" s="449" t="e">
        <f>'Customs Invoice'!C102</f>
        <v>#N/A</v>
      </c>
      <c r="D111" s="137" t="e">
        <f>VLOOKUP(F111,Sheet2!$A$2:$D$31,4,0)</f>
        <v>#N/A</v>
      </c>
      <c r="E111" s="450" t="e">
        <f>'Customs Invoice'!E102</f>
        <v>#N/A</v>
      </c>
      <c r="F111" s="188">
        <f>'Customs Invoice'!F102</f>
        <v>0</v>
      </c>
      <c r="G111" s="462">
        <f>'Customs Invoice'!G102</f>
        <v>0</v>
      </c>
      <c r="H111" s="463" t="e">
        <f>'Customs Invoice'!H102</f>
        <v>#N/A</v>
      </c>
      <c r="I111" s="464">
        <f>'Customs Invoice'!I102</f>
        <v>0</v>
      </c>
      <c r="J111" s="464">
        <f>'Customs Invoice'!J102</f>
        <v>0</v>
      </c>
      <c r="K111" s="478" t="e">
        <f t="shared" ref="K111" si="29">L111/G111</f>
        <v>#DIV/0!</v>
      </c>
      <c r="L111" s="465">
        <f>'Customs Invoice'!P102</f>
        <v>0</v>
      </c>
      <c r="M111" s="152"/>
      <c r="N111" s="153"/>
    </row>
    <row r="112" spans="1:14" s="135" customFormat="1" ht="18" hidden="1" customHeight="1" thickBot="1">
      <c r="A112" s="175"/>
      <c r="B112" s="470"/>
      <c r="C112" s="450"/>
      <c r="D112" s="189" t="e">
        <f>VLOOKUP(F112,Sheet2!$A$2:$D$31,4,0)</f>
        <v>#N/A</v>
      </c>
      <c r="E112" s="471"/>
      <c r="F112" s="190" t="str">
        <f>F111&amp;1</f>
        <v>01</v>
      </c>
      <c r="G112" s="472"/>
      <c r="H112" s="473"/>
      <c r="I112" s="466"/>
      <c r="J112" s="466"/>
      <c r="K112" s="479"/>
      <c r="L112" s="467"/>
      <c r="M112" s="152"/>
      <c r="N112" s="153"/>
    </row>
    <row r="113" spans="1:14" s="135" customFormat="1" ht="30" hidden="1" customHeight="1" thickBot="1">
      <c r="A113" s="175"/>
      <c r="B113" s="468" t="s">
        <v>38</v>
      </c>
      <c r="C113" s="469"/>
      <c r="D113" s="469"/>
      <c r="E113" s="469"/>
      <c r="F113" s="191"/>
      <c r="G113" s="480">
        <f>SUM(G93:G112)</f>
        <v>0</v>
      </c>
      <c r="H113" s="481"/>
      <c r="I113" s="192">
        <f>SUM(I93:I112)</f>
        <v>0</v>
      </c>
      <c r="J113" s="192">
        <f>SUM(J93:J112)</f>
        <v>0</v>
      </c>
      <c r="K113" s="203"/>
      <c r="L113" s="193">
        <f>SUM(L93:L112)</f>
        <v>0</v>
      </c>
      <c r="M113" s="152"/>
      <c r="N113" s="153"/>
    </row>
    <row r="114" spans="1:14" s="135" customFormat="1" ht="29.5" hidden="1" customHeight="1">
      <c r="A114" s="175"/>
      <c r="B114" s="119"/>
      <c r="C114" s="173"/>
      <c r="D114" s="119"/>
      <c r="E114" s="118"/>
      <c r="F114" s="118"/>
      <c r="G114" s="120"/>
      <c r="H114" s="194"/>
      <c r="I114" s="195"/>
      <c r="J114" s="195"/>
      <c r="K114" s="121"/>
      <c r="L114" s="121"/>
      <c r="M114" s="152"/>
      <c r="N114" s="153"/>
    </row>
    <row r="115" spans="1:14" s="135" customFormat="1" ht="25.5" hidden="1" customHeight="1" thickBot="1">
      <c r="A115" s="175"/>
      <c r="B115" s="176" t="s">
        <v>140</v>
      </c>
      <c r="C115" s="102"/>
      <c r="D115" s="177"/>
      <c r="E115" s="173"/>
      <c r="F115" s="173"/>
      <c r="G115" s="173"/>
      <c r="H115" s="173"/>
      <c r="I115" s="117"/>
      <c r="J115" s="178"/>
      <c r="K115" s="179"/>
      <c r="L115" s="179"/>
      <c r="M115" s="152"/>
      <c r="N115" s="153"/>
    </row>
    <row r="116" spans="1:14" s="135" customFormat="1" ht="41" hidden="1" customHeight="1" thickBot="1">
      <c r="A116" s="180"/>
      <c r="B116" s="181" t="s">
        <v>27</v>
      </c>
      <c r="C116" s="182" t="s">
        <v>131</v>
      </c>
      <c r="D116" s="182" t="s">
        <v>132</v>
      </c>
      <c r="E116" s="183" t="s">
        <v>133</v>
      </c>
      <c r="F116" s="183" t="s">
        <v>31</v>
      </c>
      <c r="G116" s="445" t="s">
        <v>134</v>
      </c>
      <c r="H116" s="446"/>
      <c r="I116" s="183" t="s">
        <v>33</v>
      </c>
      <c r="J116" s="184" t="s">
        <v>34</v>
      </c>
      <c r="K116" s="185" t="s">
        <v>135</v>
      </c>
      <c r="L116" s="186" t="s">
        <v>136</v>
      </c>
      <c r="M116" s="152"/>
      <c r="N116" s="153"/>
    </row>
    <row r="117" spans="1:14" s="135" customFormat="1" ht="18" hidden="1" customHeight="1">
      <c r="A117" s="175"/>
      <c r="B117" s="447">
        <f>'Customs Invoice'!B117</f>
        <v>0</v>
      </c>
      <c r="C117" s="449" t="e">
        <f>'Customs Invoice'!C117</f>
        <v>#N/A</v>
      </c>
      <c r="D117" s="138" t="e">
        <f>VLOOKUP(F117,Sheet2!$A$2:$D$31,4,0)</f>
        <v>#N/A</v>
      </c>
      <c r="E117" s="451" t="e">
        <f>'Customs Invoice'!E117</f>
        <v>#N/A</v>
      </c>
      <c r="F117" s="187">
        <f>'Customs Invoice'!F117</f>
        <v>0</v>
      </c>
      <c r="G117" s="452">
        <f>'Customs Invoice'!G117</f>
        <v>0</v>
      </c>
      <c r="H117" s="454" t="e">
        <f>'Customs Invoice'!H117</f>
        <v>#N/A</v>
      </c>
      <c r="I117" s="456">
        <f>'Customs Invoice'!I117</f>
        <v>0</v>
      </c>
      <c r="J117" s="456">
        <f>'Customs Invoice'!J117</f>
        <v>0</v>
      </c>
      <c r="K117" s="474" t="e">
        <f t="shared" ref="K117" si="30">L117/G117</f>
        <v>#DIV/0!</v>
      </c>
      <c r="L117" s="458">
        <f>'Customs Invoice'!P117</f>
        <v>0</v>
      </c>
      <c r="M117" s="152"/>
      <c r="N117" s="153"/>
    </row>
    <row r="118" spans="1:14" s="135" customFormat="1" ht="18" hidden="1" customHeight="1">
      <c r="A118" s="175"/>
      <c r="B118" s="448"/>
      <c r="C118" s="450"/>
      <c r="D118" s="137" t="e">
        <f>VLOOKUP(F118,Sheet2!$A$2:$D$31,4,0)</f>
        <v>#N/A</v>
      </c>
      <c r="E118" s="449"/>
      <c r="F118" s="188" t="str">
        <f>F117&amp;1</f>
        <v>01</v>
      </c>
      <c r="G118" s="453"/>
      <c r="H118" s="455"/>
      <c r="I118" s="457"/>
      <c r="J118" s="457"/>
      <c r="K118" s="475"/>
      <c r="L118" s="459"/>
      <c r="M118" s="152"/>
      <c r="N118" s="153"/>
    </row>
    <row r="119" spans="1:14" s="135" customFormat="1" ht="18" hidden="1" customHeight="1">
      <c r="A119" s="175"/>
      <c r="B119" s="448">
        <f>'Customs Invoice'!B118</f>
        <v>0</v>
      </c>
      <c r="C119" s="449" t="e">
        <f>'Customs Invoice'!C118</f>
        <v>#N/A</v>
      </c>
      <c r="D119" s="137" t="e">
        <f>VLOOKUP(F119,Sheet2!$A$2:$D$31,4,0)</f>
        <v>#N/A</v>
      </c>
      <c r="E119" s="450" t="e">
        <f>'Customs Invoice'!E118</f>
        <v>#N/A</v>
      </c>
      <c r="F119" s="188">
        <f>'Customs Invoice'!F118</f>
        <v>0</v>
      </c>
      <c r="G119" s="462">
        <f>'Customs Invoice'!G118</f>
        <v>0</v>
      </c>
      <c r="H119" s="463" t="e">
        <f>'Customs Invoice'!H118</f>
        <v>#N/A</v>
      </c>
      <c r="I119" s="464">
        <f>'Customs Invoice'!I118</f>
        <v>0</v>
      </c>
      <c r="J119" s="464">
        <f>'Customs Invoice'!J118</f>
        <v>0</v>
      </c>
      <c r="K119" s="478" t="e">
        <f t="shared" ref="K119" si="31">L119/G119</f>
        <v>#DIV/0!</v>
      </c>
      <c r="L119" s="465">
        <f>'Customs Invoice'!P118</f>
        <v>0</v>
      </c>
      <c r="M119" s="152"/>
      <c r="N119" s="153"/>
    </row>
    <row r="120" spans="1:14" s="135" customFormat="1" ht="18" hidden="1" customHeight="1">
      <c r="A120" s="175"/>
      <c r="B120" s="448"/>
      <c r="C120" s="450"/>
      <c r="D120" s="137" t="e">
        <f>VLOOKUP(F120,Sheet2!$A$2:$D$31,4,0)</f>
        <v>#N/A</v>
      </c>
      <c r="E120" s="450"/>
      <c r="F120" s="188" t="str">
        <f>F119&amp;1</f>
        <v>01</v>
      </c>
      <c r="G120" s="462"/>
      <c r="H120" s="463"/>
      <c r="I120" s="464"/>
      <c r="J120" s="464"/>
      <c r="K120" s="478"/>
      <c r="L120" s="465"/>
      <c r="M120" s="152"/>
      <c r="N120" s="153"/>
    </row>
    <row r="121" spans="1:14" s="135" customFormat="1" ht="18" hidden="1" customHeight="1">
      <c r="A121" s="175"/>
      <c r="B121" s="448">
        <f>'Customs Invoice'!B119</f>
        <v>0</v>
      </c>
      <c r="C121" s="449" t="e">
        <f>'Customs Invoice'!C119</f>
        <v>#N/A</v>
      </c>
      <c r="D121" s="137" t="e">
        <f>VLOOKUP(F121,Sheet2!$A$2:$D$31,4,0)</f>
        <v>#N/A</v>
      </c>
      <c r="E121" s="450" t="e">
        <f>'Customs Invoice'!E119</f>
        <v>#N/A</v>
      </c>
      <c r="F121" s="188">
        <f>'Customs Invoice'!F119</f>
        <v>0</v>
      </c>
      <c r="G121" s="462">
        <f>'Customs Invoice'!G119</f>
        <v>0</v>
      </c>
      <c r="H121" s="463" t="e">
        <f>'Customs Invoice'!H119</f>
        <v>#N/A</v>
      </c>
      <c r="I121" s="464">
        <f>'Customs Invoice'!I119</f>
        <v>0</v>
      </c>
      <c r="J121" s="464">
        <f>'Customs Invoice'!J119</f>
        <v>0</v>
      </c>
      <c r="K121" s="478" t="e">
        <f t="shared" ref="K121" si="32">L121/G121</f>
        <v>#DIV/0!</v>
      </c>
      <c r="L121" s="465">
        <f>'Customs Invoice'!P119</f>
        <v>0</v>
      </c>
      <c r="M121" s="152"/>
      <c r="N121" s="153"/>
    </row>
    <row r="122" spans="1:14" s="135" customFormat="1" ht="18" hidden="1" customHeight="1">
      <c r="A122" s="175"/>
      <c r="B122" s="448"/>
      <c r="C122" s="450"/>
      <c r="D122" s="137" t="e">
        <f>VLOOKUP(F122,Sheet2!$A$2:$D$31,4,0)</f>
        <v>#N/A</v>
      </c>
      <c r="E122" s="450"/>
      <c r="F122" s="188" t="str">
        <f>F121&amp;1</f>
        <v>01</v>
      </c>
      <c r="G122" s="462"/>
      <c r="H122" s="463"/>
      <c r="I122" s="464"/>
      <c r="J122" s="464"/>
      <c r="K122" s="478"/>
      <c r="L122" s="465"/>
      <c r="M122" s="152"/>
      <c r="N122" s="153"/>
    </row>
    <row r="123" spans="1:14" s="135" customFormat="1" ht="18" hidden="1" customHeight="1">
      <c r="A123" s="175"/>
      <c r="B123" s="448">
        <f>'Customs Invoice'!B120</f>
        <v>0</v>
      </c>
      <c r="C123" s="449" t="e">
        <f>'Customs Invoice'!C120</f>
        <v>#N/A</v>
      </c>
      <c r="D123" s="137" t="e">
        <f>VLOOKUP(F123,Sheet2!$A$2:$D$31,4,0)</f>
        <v>#N/A</v>
      </c>
      <c r="E123" s="450" t="e">
        <f>'Customs Invoice'!E120</f>
        <v>#N/A</v>
      </c>
      <c r="F123" s="188">
        <f>'Customs Invoice'!F120</f>
        <v>0</v>
      </c>
      <c r="G123" s="462">
        <f>'Customs Invoice'!G120</f>
        <v>0</v>
      </c>
      <c r="H123" s="463" t="e">
        <f>'Customs Invoice'!H120</f>
        <v>#N/A</v>
      </c>
      <c r="I123" s="464">
        <f>'Customs Invoice'!I120</f>
        <v>0</v>
      </c>
      <c r="J123" s="464">
        <f>'Customs Invoice'!J120</f>
        <v>0</v>
      </c>
      <c r="K123" s="478" t="e">
        <f t="shared" ref="K123" si="33">L123/G123</f>
        <v>#DIV/0!</v>
      </c>
      <c r="L123" s="465">
        <f>'Customs Invoice'!P120</f>
        <v>0</v>
      </c>
      <c r="M123" s="152"/>
      <c r="N123" s="153"/>
    </row>
    <row r="124" spans="1:14" s="135" customFormat="1" ht="18" hidden="1" customHeight="1">
      <c r="A124" s="175"/>
      <c r="B124" s="448"/>
      <c r="C124" s="450"/>
      <c r="D124" s="137" t="e">
        <f>VLOOKUP(F124,Sheet2!$A$2:$D$31,4,0)</f>
        <v>#N/A</v>
      </c>
      <c r="E124" s="450"/>
      <c r="F124" s="188" t="str">
        <f>F123&amp;1</f>
        <v>01</v>
      </c>
      <c r="G124" s="462"/>
      <c r="H124" s="463"/>
      <c r="I124" s="464"/>
      <c r="J124" s="464"/>
      <c r="K124" s="478"/>
      <c r="L124" s="465"/>
      <c r="M124" s="152"/>
      <c r="N124" s="153"/>
    </row>
    <row r="125" spans="1:14" s="135" customFormat="1" ht="18" hidden="1" customHeight="1">
      <c r="A125" s="175"/>
      <c r="B125" s="448">
        <f>'Customs Invoice'!B121</f>
        <v>0</v>
      </c>
      <c r="C125" s="449" t="e">
        <f>'Customs Invoice'!C121</f>
        <v>#N/A</v>
      </c>
      <c r="D125" s="137" t="e">
        <f>VLOOKUP(F125,Sheet2!$A$2:$D$31,4,0)</f>
        <v>#N/A</v>
      </c>
      <c r="E125" s="450" t="e">
        <f>'Customs Invoice'!E121</f>
        <v>#N/A</v>
      </c>
      <c r="F125" s="188">
        <f>'Customs Invoice'!F121</f>
        <v>0</v>
      </c>
      <c r="G125" s="462">
        <f>'Customs Invoice'!G121</f>
        <v>0</v>
      </c>
      <c r="H125" s="463" t="e">
        <f>'Customs Invoice'!H121</f>
        <v>#N/A</v>
      </c>
      <c r="I125" s="464">
        <f>'Customs Invoice'!I121</f>
        <v>0</v>
      </c>
      <c r="J125" s="464">
        <f>'Customs Invoice'!J121</f>
        <v>0</v>
      </c>
      <c r="K125" s="478" t="e">
        <f t="shared" ref="K125" si="34">L125/G125</f>
        <v>#DIV/0!</v>
      </c>
      <c r="L125" s="465">
        <f>'Customs Invoice'!P121</f>
        <v>0</v>
      </c>
      <c r="M125" s="152"/>
      <c r="N125" s="153"/>
    </row>
    <row r="126" spans="1:14" s="135" customFormat="1" ht="18" hidden="1" customHeight="1">
      <c r="A126" s="175"/>
      <c r="B126" s="448"/>
      <c r="C126" s="450"/>
      <c r="D126" s="137" t="e">
        <f>VLOOKUP(F126,Sheet2!$A$2:$D$31,4,0)</f>
        <v>#N/A</v>
      </c>
      <c r="E126" s="450"/>
      <c r="F126" s="188" t="str">
        <f>F125&amp;1</f>
        <v>01</v>
      </c>
      <c r="G126" s="462"/>
      <c r="H126" s="463"/>
      <c r="I126" s="464"/>
      <c r="J126" s="464"/>
      <c r="K126" s="478"/>
      <c r="L126" s="465"/>
      <c r="M126" s="152"/>
      <c r="N126" s="153"/>
    </row>
    <row r="127" spans="1:14" s="135" customFormat="1" ht="18" hidden="1" customHeight="1">
      <c r="A127" s="175"/>
      <c r="B127" s="448">
        <f>'Customs Invoice'!B122</f>
        <v>0</v>
      </c>
      <c r="C127" s="449" t="e">
        <f>'Customs Invoice'!C122</f>
        <v>#N/A</v>
      </c>
      <c r="D127" s="137" t="e">
        <f>VLOOKUP(F127,Sheet2!$A$2:$D$31,4,0)</f>
        <v>#N/A</v>
      </c>
      <c r="E127" s="450" t="e">
        <f>'Customs Invoice'!E122</f>
        <v>#N/A</v>
      </c>
      <c r="F127" s="188">
        <f>'Customs Invoice'!F122</f>
        <v>0</v>
      </c>
      <c r="G127" s="462">
        <f>'Customs Invoice'!G122</f>
        <v>0</v>
      </c>
      <c r="H127" s="463" t="e">
        <f>'Customs Invoice'!H122</f>
        <v>#N/A</v>
      </c>
      <c r="I127" s="464">
        <f>'Customs Invoice'!I122</f>
        <v>0</v>
      </c>
      <c r="J127" s="464">
        <f>'Customs Invoice'!J122</f>
        <v>0</v>
      </c>
      <c r="K127" s="478" t="e">
        <f t="shared" ref="K127" si="35">L127/G127</f>
        <v>#DIV/0!</v>
      </c>
      <c r="L127" s="465">
        <f>'Customs Invoice'!P122</f>
        <v>0</v>
      </c>
      <c r="M127" s="152"/>
      <c r="N127" s="153"/>
    </row>
    <row r="128" spans="1:14" s="135" customFormat="1" ht="18" hidden="1" customHeight="1">
      <c r="A128" s="175"/>
      <c r="B128" s="448"/>
      <c r="C128" s="450"/>
      <c r="D128" s="137" t="e">
        <f>VLOOKUP(F128,Sheet2!$A$2:$D$31,4,0)</f>
        <v>#N/A</v>
      </c>
      <c r="E128" s="450"/>
      <c r="F128" s="188" t="str">
        <f>F127&amp;1</f>
        <v>01</v>
      </c>
      <c r="G128" s="462"/>
      <c r="H128" s="463"/>
      <c r="I128" s="464"/>
      <c r="J128" s="464"/>
      <c r="K128" s="478"/>
      <c r="L128" s="465"/>
      <c r="M128" s="152"/>
      <c r="N128" s="153"/>
    </row>
    <row r="129" spans="1:14" s="135" customFormat="1" ht="18" hidden="1" customHeight="1">
      <c r="A129" s="175"/>
      <c r="B129" s="448">
        <f>'Customs Invoice'!B123</f>
        <v>0</v>
      </c>
      <c r="C129" s="449" t="e">
        <f>'Customs Invoice'!C123</f>
        <v>#N/A</v>
      </c>
      <c r="D129" s="137" t="e">
        <f>VLOOKUP(F129,Sheet2!$A$2:$D$31,4,0)</f>
        <v>#N/A</v>
      </c>
      <c r="E129" s="450" t="e">
        <f>'Customs Invoice'!E123</f>
        <v>#N/A</v>
      </c>
      <c r="F129" s="188">
        <f>'Customs Invoice'!F123</f>
        <v>0</v>
      </c>
      <c r="G129" s="462">
        <f>'Customs Invoice'!G123</f>
        <v>0</v>
      </c>
      <c r="H129" s="463" t="e">
        <f>'Customs Invoice'!H123</f>
        <v>#N/A</v>
      </c>
      <c r="I129" s="464">
        <f>'Customs Invoice'!I123</f>
        <v>0</v>
      </c>
      <c r="J129" s="464">
        <f>'Customs Invoice'!J123</f>
        <v>0</v>
      </c>
      <c r="K129" s="478" t="e">
        <f t="shared" ref="K129" si="36">L129/G129</f>
        <v>#DIV/0!</v>
      </c>
      <c r="L129" s="465">
        <f>'Customs Invoice'!P123</f>
        <v>0</v>
      </c>
      <c r="M129" s="152"/>
      <c r="N129" s="153"/>
    </row>
    <row r="130" spans="1:14" s="135" customFormat="1" ht="18" hidden="1" customHeight="1">
      <c r="A130" s="175"/>
      <c r="B130" s="448"/>
      <c r="C130" s="450"/>
      <c r="D130" s="137" t="e">
        <f>VLOOKUP(F130,Sheet2!$A$2:$D$31,4,0)</f>
        <v>#N/A</v>
      </c>
      <c r="E130" s="450"/>
      <c r="F130" s="188" t="str">
        <f>F129&amp;1</f>
        <v>01</v>
      </c>
      <c r="G130" s="462"/>
      <c r="H130" s="463"/>
      <c r="I130" s="464"/>
      <c r="J130" s="464"/>
      <c r="K130" s="478"/>
      <c r="L130" s="465"/>
      <c r="M130" s="152"/>
      <c r="N130" s="153"/>
    </row>
    <row r="131" spans="1:14" s="135" customFormat="1" ht="18" hidden="1" customHeight="1">
      <c r="A131" s="175"/>
      <c r="B131" s="448">
        <f>'Customs Invoice'!B124</f>
        <v>0</v>
      </c>
      <c r="C131" s="449" t="e">
        <f>'Customs Invoice'!C124</f>
        <v>#N/A</v>
      </c>
      <c r="D131" s="137" t="e">
        <f>VLOOKUP(F131,Sheet2!$A$2:$D$31,4,0)</f>
        <v>#N/A</v>
      </c>
      <c r="E131" s="450" t="e">
        <f>'Customs Invoice'!E124</f>
        <v>#N/A</v>
      </c>
      <c r="F131" s="188">
        <f>'Customs Invoice'!F124</f>
        <v>0</v>
      </c>
      <c r="G131" s="462">
        <f>'Customs Invoice'!G124</f>
        <v>0</v>
      </c>
      <c r="H131" s="463" t="e">
        <f>'Customs Invoice'!H124</f>
        <v>#N/A</v>
      </c>
      <c r="I131" s="464">
        <f>'Customs Invoice'!I124</f>
        <v>0</v>
      </c>
      <c r="J131" s="464">
        <f>'Customs Invoice'!J124</f>
        <v>0</v>
      </c>
      <c r="K131" s="478" t="e">
        <f t="shared" ref="K131" si="37">L131/G131</f>
        <v>#DIV/0!</v>
      </c>
      <c r="L131" s="465">
        <f>'Customs Invoice'!P124</f>
        <v>0</v>
      </c>
      <c r="M131" s="152"/>
      <c r="N131" s="153"/>
    </row>
    <row r="132" spans="1:14" s="135" customFormat="1" ht="18" hidden="1" customHeight="1">
      <c r="A132" s="175"/>
      <c r="B132" s="448"/>
      <c r="C132" s="450"/>
      <c r="D132" s="137" t="e">
        <f>VLOOKUP(F132,Sheet2!$A$2:$D$31,4,0)</f>
        <v>#N/A</v>
      </c>
      <c r="E132" s="450"/>
      <c r="F132" s="188" t="str">
        <f>F131&amp;1</f>
        <v>01</v>
      </c>
      <c r="G132" s="462"/>
      <c r="H132" s="463"/>
      <c r="I132" s="464"/>
      <c r="J132" s="464"/>
      <c r="K132" s="478"/>
      <c r="L132" s="465"/>
      <c r="M132" s="152"/>
      <c r="N132" s="153"/>
    </row>
    <row r="133" spans="1:14" s="135" customFormat="1" ht="18" hidden="1" customHeight="1">
      <c r="A133" s="175"/>
      <c r="B133" s="448">
        <f>'Customs Invoice'!B125</f>
        <v>0</v>
      </c>
      <c r="C133" s="449" t="e">
        <f>'Customs Invoice'!C125</f>
        <v>#N/A</v>
      </c>
      <c r="D133" s="137" t="e">
        <f>VLOOKUP(F133,Sheet2!$A$2:$D$31,4,0)</f>
        <v>#N/A</v>
      </c>
      <c r="E133" s="450" t="e">
        <f>'Customs Invoice'!E125</f>
        <v>#N/A</v>
      </c>
      <c r="F133" s="188">
        <f>'Customs Invoice'!F125</f>
        <v>0</v>
      </c>
      <c r="G133" s="462">
        <f>'Customs Invoice'!G125</f>
        <v>0</v>
      </c>
      <c r="H133" s="463" t="e">
        <f>'Customs Invoice'!H125</f>
        <v>#N/A</v>
      </c>
      <c r="I133" s="464">
        <f>'Customs Invoice'!I125</f>
        <v>0</v>
      </c>
      <c r="J133" s="464">
        <f>'Customs Invoice'!J125</f>
        <v>0</v>
      </c>
      <c r="K133" s="478" t="e">
        <f t="shared" ref="K133" si="38">L133/G133</f>
        <v>#DIV/0!</v>
      </c>
      <c r="L133" s="465">
        <f>'Customs Invoice'!P125</f>
        <v>0</v>
      </c>
      <c r="M133" s="152"/>
      <c r="N133" s="153"/>
    </row>
    <row r="134" spans="1:14" s="135" customFormat="1" ht="18" hidden="1" customHeight="1">
      <c r="A134" s="175"/>
      <c r="B134" s="448"/>
      <c r="C134" s="450"/>
      <c r="D134" s="137" t="e">
        <f>VLOOKUP(F134,Sheet2!$A$2:$D$31,4,0)</f>
        <v>#N/A</v>
      </c>
      <c r="E134" s="450"/>
      <c r="F134" s="188" t="str">
        <f>F133&amp;1</f>
        <v>01</v>
      </c>
      <c r="G134" s="462"/>
      <c r="H134" s="463"/>
      <c r="I134" s="464"/>
      <c r="J134" s="464"/>
      <c r="K134" s="478"/>
      <c r="L134" s="465"/>
      <c r="M134" s="152"/>
      <c r="N134" s="153"/>
    </row>
    <row r="135" spans="1:14" s="135" customFormat="1" ht="18" hidden="1" customHeight="1">
      <c r="A135" s="175"/>
      <c r="B135" s="448">
        <f>'Customs Invoice'!B126</f>
        <v>0</v>
      </c>
      <c r="C135" s="449" t="e">
        <f>'Customs Invoice'!C126</f>
        <v>#N/A</v>
      </c>
      <c r="D135" s="137" t="e">
        <f>VLOOKUP(F135,Sheet2!$A$2:$D$31,4,0)</f>
        <v>#N/A</v>
      </c>
      <c r="E135" s="450" t="e">
        <f>'Customs Invoice'!E126</f>
        <v>#N/A</v>
      </c>
      <c r="F135" s="188">
        <f>'Customs Invoice'!F126</f>
        <v>0</v>
      </c>
      <c r="G135" s="462">
        <f>'Customs Invoice'!G126</f>
        <v>0</v>
      </c>
      <c r="H135" s="463" t="e">
        <f>'Customs Invoice'!H126</f>
        <v>#N/A</v>
      </c>
      <c r="I135" s="464">
        <f>'Customs Invoice'!I126</f>
        <v>0</v>
      </c>
      <c r="J135" s="464">
        <f>'Customs Invoice'!J126</f>
        <v>0</v>
      </c>
      <c r="K135" s="478" t="e">
        <f t="shared" ref="K135" si="39">L135/G135</f>
        <v>#DIV/0!</v>
      </c>
      <c r="L135" s="465">
        <f>'Customs Invoice'!P126</f>
        <v>0</v>
      </c>
      <c r="M135" s="152"/>
      <c r="N135" s="153"/>
    </row>
    <row r="136" spans="1:14" s="135" customFormat="1" ht="18" hidden="1" customHeight="1" thickBot="1">
      <c r="A136" s="175"/>
      <c r="B136" s="470"/>
      <c r="C136" s="450"/>
      <c r="D136" s="189" t="e">
        <f>VLOOKUP(F136,Sheet2!$A$2:$D$31,4,0)</f>
        <v>#N/A</v>
      </c>
      <c r="E136" s="471"/>
      <c r="F136" s="190" t="str">
        <f>F135&amp;1</f>
        <v>01</v>
      </c>
      <c r="G136" s="472"/>
      <c r="H136" s="473"/>
      <c r="I136" s="466"/>
      <c r="J136" s="466"/>
      <c r="K136" s="479"/>
      <c r="L136" s="467"/>
      <c r="M136" s="152"/>
      <c r="N136" s="153"/>
    </row>
    <row r="137" spans="1:14" s="135" customFormat="1" ht="30" hidden="1" customHeight="1" thickBot="1">
      <c r="A137" s="175"/>
      <c r="B137" s="468" t="s">
        <v>38</v>
      </c>
      <c r="C137" s="469"/>
      <c r="D137" s="469"/>
      <c r="E137" s="469"/>
      <c r="F137" s="191"/>
      <c r="G137" s="480">
        <f>SUM(G117:G136)</f>
        <v>0</v>
      </c>
      <c r="H137" s="481"/>
      <c r="I137" s="192">
        <f>SUM(I117:I136)</f>
        <v>0</v>
      </c>
      <c r="J137" s="192">
        <f>SUM(J117:J136)</f>
        <v>0</v>
      </c>
      <c r="K137" s="203"/>
      <c r="L137" s="193">
        <f>SUM(L117:L136)</f>
        <v>0</v>
      </c>
      <c r="M137" s="152"/>
      <c r="N137" s="153"/>
    </row>
    <row r="138" spans="1:14" s="135" customFormat="1" ht="29.5" customHeight="1">
      <c r="A138" s="175"/>
      <c r="B138" s="119"/>
      <c r="C138" s="173"/>
      <c r="D138" s="119"/>
      <c r="E138" s="118"/>
      <c r="F138" s="118"/>
      <c r="G138" s="120"/>
      <c r="H138" s="194"/>
      <c r="I138" s="195"/>
      <c r="J138" s="195"/>
      <c r="K138" s="204"/>
      <c r="L138" s="121"/>
      <c r="M138" s="152"/>
      <c r="N138" s="153"/>
    </row>
    <row r="139" spans="1:14" s="135" customFormat="1" ht="16" thickBot="1">
      <c r="A139" s="175"/>
      <c r="B139" s="119"/>
      <c r="C139" s="173"/>
      <c r="D139" s="119"/>
      <c r="E139" s="118"/>
      <c r="F139" s="118"/>
      <c r="G139" s="120"/>
      <c r="H139" s="194"/>
      <c r="I139" s="195"/>
      <c r="J139" s="195"/>
      <c r="K139" s="121"/>
      <c r="L139" s="121"/>
      <c r="M139" s="152"/>
      <c r="N139" s="153"/>
    </row>
    <row r="140" spans="1:14" s="135" customFormat="1" ht="40" customHeight="1" thickBot="1">
      <c r="A140" s="175"/>
      <c r="B140" s="484" t="s">
        <v>47</v>
      </c>
      <c r="C140" s="485"/>
      <c r="D140" s="485"/>
      <c r="E140" s="485"/>
      <c r="F140" s="485"/>
      <c r="G140" s="485"/>
      <c r="H140" s="485"/>
      <c r="I140" s="485"/>
      <c r="J140" s="485"/>
      <c r="K140" s="486"/>
      <c r="L140" s="152"/>
      <c r="M140" s="153"/>
    </row>
    <row r="141" spans="1:14" s="135" customFormat="1" ht="41" customHeight="1" thickBot="1">
      <c r="A141" s="175"/>
      <c r="B141" s="200" t="s">
        <v>27</v>
      </c>
      <c r="C141" s="362" t="s">
        <v>131</v>
      </c>
      <c r="D141" s="362" t="s">
        <v>132</v>
      </c>
      <c r="E141" s="363" t="s">
        <v>133</v>
      </c>
      <c r="F141" s="363" t="s">
        <v>31</v>
      </c>
      <c r="G141" s="482" t="s">
        <v>134</v>
      </c>
      <c r="H141" s="483"/>
      <c r="I141" s="363" t="s">
        <v>33</v>
      </c>
      <c r="J141" s="201" t="s">
        <v>34</v>
      </c>
      <c r="K141" s="202" t="s">
        <v>136</v>
      </c>
      <c r="L141" s="152"/>
      <c r="M141" s="153"/>
    </row>
    <row r="142" spans="1:14" s="135" customFormat="1" ht="16" customHeight="1">
      <c r="A142" s="175"/>
      <c r="B142" s="447">
        <f>IFERROR(B141+1,1)</f>
        <v>1</v>
      </c>
      <c r="C142" s="449" t="str" cm="1">
        <f t="array" ref="C142">_xlfn.LET(_xlpm.DataBox, _xlfn.TOCOL(_xlfn.VSTACK($C$21:$C$40, $C$45:$C$64, $C$69:$C$88, $C$93:$C$112, $C$117:$C$136), 3), _xlpm.CleanList, _xlfn.UNIQUE(_xlfn._xlws.FILTER(_xlpm.DataBox, _xlpm.DataBox&lt;&gt;0)), _xlpm.Urutan, ROUNDUP(ROWS($C$142:C142)/2, 0), IFERROR(INDEX(_xlpm.CleanList, _xlpm.Urutan), ""))</f>
        <v/>
      </c>
      <c r="D142" s="361" t="str">
        <f>IF($C142="", "", VLOOKUP($C142, $C$21:$D$136, 2, FALSE))</f>
        <v/>
      </c>
      <c r="E142" s="449" t="str">
        <f>IF($C142="", "", VLOOKUP($C142, $C$21:$E$136, 3, FALSE))</f>
        <v/>
      </c>
      <c r="F142" s="187" t="str">
        <f>IF($C142="", "", INDEX($F$21:$F$136, MATCH($C142, $C$21:$C$136, 0)))</f>
        <v/>
      </c>
      <c r="G142" s="453" t="str">
        <f>IF($C142="", "", SUMIF($C$21:$C$136, $C142, G$21:G$136))</f>
        <v/>
      </c>
      <c r="H142" s="487" t="e">
        <f>VLOOKUP(F142,Sheet2!$A$2:$D$31,3,0)</f>
        <v>#N/A</v>
      </c>
      <c r="I142" s="457" t="str">
        <f>IF($C142="", "", SUMIF($C$21:$C$136, $C142, I$21:I$136))</f>
        <v/>
      </c>
      <c r="J142" s="457" t="str">
        <f>IF($C142="", "", SUMIF($C$21:$C$136, $C142, J$21:J$136))</f>
        <v/>
      </c>
      <c r="K142" s="459" t="str">
        <f>IF($C142="", "", SUMIF($C$21:$C$136, $C142, K$21:K$136))</f>
        <v/>
      </c>
      <c r="L142" s="152"/>
      <c r="M142" s="153"/>
    </row>
    <row r="143" spans="1:14" s="135" customFormat="1" ht="16" customHeight="1">
      <c r="A143" s="175"/>
      <c r="B143" s="448"/>
      <c r="C143" s="450"/>
      <c r="D143" s="359" t="str" cm="1">
        <f t="array" ref="D143">IF($C142="", "", INDEX($D$21:$D$136, MATCH($C142, $C$21:$C$136, 0) + 1))</f>
        <v/>
      </c>
      <c r="E143" s="450"/>
      <c r="F143" s="188" t="str" cm="1">
        <f t="array" ref="F143">IF($C142="", "", INDEX($F$21:$F$136, MATCH($C142, $C$21:$C$136, 0) + 1))</f>
        <v/>
      </c>
      <c r="G143" s="462"/>
      <c r="H143" s="463" t="e">
        <f>VLOOKUP(F143,Sheet2!$A$2:$D$31,3,0)</f>
        <v>#N/A</v>
      </c>
      <c r="I143" s="464"/>
      <c r="J143" s="464"/>
      <c r="K143" s="465"/>
      <c r="L143" s="152"/>
      <c r="M143" s="153"/>
    </row>
    <row r="144" spans="1:14" s="135" customFormat="1" ht="16" customHeight="1">
      <c r="A144" s="175"/>
      <c r="B144" s="448">
        <f>B142+1</f>
        <v>2</v>
      </c>
      <c r="C144" s="450" t="str" cm="1">
        <f t="array" ref="C144">_xlfn.LET(_xlpm.DataBox, _xlfn.TOCOL(_xlfn.VSTACK($C$21:$C$40, $C$45:$C$64, $C$69:$C$88, $C$93:$C$112, $C$117:$C$136), 3), _xlpm.CleanList, _xlfn.UNIQUE(_xlfn._xlws.FILTER(_xlpm.DataBox, _xlpm.DataBox&lt;&gt;0)), _xlpm.Urutan, ROUNDUP(ROWS($C$142:C144)/2, 0), IFERROR(INDEX(_xlpm.CleanList, _xlpm.Urutan), ""))</f>
        <v/>
      </c>
      <c r="D144" s="359" t="str">
        <f t="shared" ref="D144" si="40">IF($C144="", "", VLOOKUP($C144, $C$21:$D$136, 2, FALSE))</f>
        <v/>
      </c>
      <c r="E144" s="450" t="str">
        <f t="shared" ref="E144" si="41">IF($C144="", "", VLOOKUP($C144, $C$21:$E$136, 3, FALSE))</f>
        <v/>
      </c>
      <c r="F144" s="188" t="str">
        <f t="shared" ref="F144" si="42">IF($C144="", "", INDEX($F$21:$F$136, MATCH($C144, $C$21:$C$136, 0)))</f>
        <v/>
      </c>
      <c r="G144" s="462" t="str">
        <f t="shared" ref="G144" si="43">IF($C144="", "", SUMIF($C$21:$C$136, $C144, G$21:G$136))</f>
        <v/>
      </c>
      <c r="H144" s="463" t="e">
        <f>VLOOKUP(F144,Sheet2!$A$2:$D$31,3,0)</f>
        <v>#N/A</v>
      </c>
      <c r="I144" s="464" t="str">
        <f t="shared" ref="I144:J144" si="44">IF($C144="", "", SUMIF($C$21:$C$136, $C144, I$21:I$136))</f>
        <v/>
      </c>
      <c r="J144" s="464" t="str">
        <f t="shared" si="44"/>
        <v/>
      </c>
      <c r="K144" s="459" t="str">
        <f>IF($C144="", "", SUMIF($C$21:$C$136, $C144, K$21:K$136))</f>
        <v/>
      </c>
      <c r="L144" s="152"/>
      <c r="M144" s="153"/>
    </row>
    <row r="145" spans="1:13" s="135" customFormat="1" ht="16" customHeight="1">
      <c r="A145" s="175"/>
      <c r="B145" s="448"/>
      <c r="C145" s="450"/>
      <c r="D145" s="359" t="str" cm="1">
        <f t="array" ref="D145">IF($C144="", "", INDEX($D$21:$D$136, MATCH($C144, $C$21:$C$136, 0) + 1))</f>
        <v/>
      </c>
      <c r="E145" s="450"/>
      <c r="F145" s="188" t="str" cm="1">
        <f t="array" ref="F145">IF($C144="", "", INDEX($F$21:$F$136, MATCH($C144, $C$21:$C$136, 0) + 1))</f>
        <v/>
      </c>
      <c r="G145" s="462"/>
      <c r="H145" s="463" t="e">
        <f>VLOOKUP(F145,Sheet2!$A$2:$D$31,3,0)</f>
        <v>#N/A</v>
      </c>
      <c r="I145" s="464"/>
      <c r="J145" s="464"/>
      <c r="K145" s="465"/>
      <c r="L145" s="152"/>
      <c r="M145" s="153"/>
    </row>
    <row r="146" spans="1:13" s="135" customFormat="1" ht="16" customHeight="1">
      <c r="A146" s="175"/>
      <c r="B146" s="448">
        <f>B144+1</f>
        <v>3</v>
      </c>
      <c r="C146" s="450" t="str" cm="1">
        <f t="array" ref="C146">_xlfn.LET(_xlpm.DataBox, _xlfn.TOCOL(_xlfn.VSTACK($C$21:$C$40, $C$45:$C$64, $C$69:$C$88, $C$93:$C$112, $C$117:$C$136), 3), _xlpm.CleanList, _xlfn.UNIQUE(_xlfn._xlws.FILTER(_xlpm.DataBox, _xlpm.DataBox&lt;&gt;0)), _xlpm.Urutan, ROUNDUP(ROWS($C$142:C146)/2, 0), IFERROR(INDEX(_xlpm.CleanList, _xlpm.Urutan), ""))</f>
        <v/>
      </c>
      <c r="D146" s="359" t="str">
        <f t="shared" ref="D146" si="45">IF($C146="", "", VLOOKUP($C146, $C$21:$D$136, 2, FALSE))</f>
        <v/>
      </c>
      <c r="E146" s="450" t="str">
        <f t="shared" ref="E146" si="46">IF($C146="", "", VLOOKUP($C146, $C$21:$E$136, 3, FALSE))</f>
        <v/>
      </c>
      <c r="F146" s="188" t="str">
        <f t="shared" ref="F146" si="47">IF($C146="", "", INDEX($F$21:$F$136, MATCH($C146, $C$21:$C$136, 0)))</f>
        <v/>
      </c>
      <c r="G146" s="462" t="str">
        <f t="shared" ref="G146" si="48">IF($C146="", "", SUMIF($C$21:$C$136, $C146, G$21:G$136))</f>
        <v/>
      </c>
      <c r="H146" s="463" t="e">
        <f>VLOOKUP(F146,Sheet2!$A$2:$D$31,3,0)</f>
        <v>#N/A</v>
      </c>
      <c r="I146" s="464" t="str">
        <f t="shared" ref="I146:J146" si="49">IF($C146="", "", SUMIF($C$21:$C$136, $C146, I$21:I$136))</f>
        <v/>
      </c>
      <c r="J146" s="464" t="str">
        <f t="shared" si="49"/>
        <v/>
      </c>
      <c r="K146" s="459" t="str">
        <f>IF($C146="", "", SUMIF($C$21:$C$136, $C146, K$21:K$136))</f>
        <v/>
      </c>
      <c r="L146" s="152"/>
      <c r="M146" s="153"/>
    </row>
    <row r="147" spans="1:13" s="135" customFormat="1" ht="16" customHeight="1">
      <c r="A147" s="175"/>
      <c r="B147" s="448"/>
      <c r="C147" s="450"/>
      <c r="D147" s="359" t="str" cm="1">
        <f t="array" ref="D147">IF($C146="", "", INDEX($D$21:$D$136, MATCH($C146, $C$21:$C$136, 0) + 1))</f>
        <v/>
      </c>
      <c r="E147" s="450"/>
      <c r="F147" s="188" t="str" cm="1">
        <f t="array" ref="F147">IF($C146="", "", INDEX($F$21:$F$136, MATCH($C146, $C$21:$C$136, 0) + 1))</f>
        <v/>
      </c>
      <c r="G147" s="462"/>
      <c r="H147" s="463" t="e">
        <f>VLOOKUP(F147,Sheet2!$A$2:$D$31,3,0)</f>
        <v>#N/A</v>
      </c>
      <c r="I147" s="464"/>
      <c r="J147" s="464"/>
      <c r="K147" s="465"/>
      <c r="L147" s="152"/>
      <c r="M147" s="153"/>
    </row>
    <row r="148" spans="1:13" s="135" customFormat="1" ht="16" customHeight="1">
      <c r="A148" s="175"/>
      <c r="B148" s="448">
        <f>B146+1</f>
        <v>4</v>
      </c>
      <c r="C148" s="450" t="str" cm="1">
        <f t="array" ref="C148">_xlfn.LET(_xlpm.DataBox, _xlfn.TOCOL(_xlfn.VSTACK($C$21:$C$40, $C$45:$C$64, $C$69:$C$88, $C$93:$C$112, $C$117:$C$136), 3), _xlpm.CleanList, _xlfn.UNIQUE(_xlfn._xlws.FILTER(_xlpm.DataBox, _xlpm.DataBox&lt;&gt;0)), _xlpm.Urutan, ROUNDUP(ROWS($C$142:C148)/2, 0), IFERROR(INDEX(_xlpm.CleanList, _xlpm.Urutan), ""))</f>
        <v/>
      </c>
      <c r="D148" s="359" t="str">
        <f t="shared" ref="D148" si="50">IF($C148="", "", VLOOKUP($C148, $C$21:$D$136, 2, FALSE))</f>
        <v/>
      </c>
      <c r="E148" s="450" t="str">
        <f t="shared" ref="E148" si="51">IF($C148="", "", VLOOKUP($C148, $C$21:$E$136, 3, FALSE))</f>
        <v/>
      </c>
      <c r="F148" s="188" t="str">
        <f t="shared" ref="F148" si="52">IF($C148="", "", INDEX($F$21:$F$136, MATCH($C148, $C$21:$C$136, 0)))</f>
        <v/>
      </c>
      <c r="G148" s="462" t="str">
        <f t="shared" ref="G148" si="53">IF($C148="", "", SUMIF($C$21:$C$136, $C148, G$21:G$136))</f>
        <v/>
      </c>
      <c r="H148" s="463" t="e">
        <f>VLOOKUP(F148,Sheet2!$A$2:$D$31,3,0)</f>
        <v>#N/A</v>
      </c>
      <c r="I148" s="464" t="str">
        <f t="shared" ref="I148:J148" si="54">IF($C148="", "", SUMIF($C$21:$C$136, $C148, I$21:I$136))</f>
        <v/>
      </c>
      <c r="J148" s="464" t="str">
        <f t="shared" si="54"/>
        <v/>
      </c>
      <c r="K148" s="459" t="str">
        <f>IF($C148="", "", SUMIF($C$21:$C$136, $C148, K$21:K$136))</f>
        <v/>
      </c>
      <c r="L148" s="152"/>
      <c r="M148" s="153"/>
    </row>
    <row r="149" spans="1:13" s="135" customFormat="1" ht="16" customHeight="1">
      <c r="A149" s="175"/>
      <c r="B149" s="448"/>
      <c r="C149" s="450"/>
      <c r="D149" s="359" t="str" cm="1">
        <f t="array" ref="D149">IF($C148="", "", INDEX($D$21:$D$136, MATCH($C148, $C$21:$C$136, 0) + 1))</f>
        <v/>
      </c>
      <c r="E149" s="450"/>
      <c r="F149" s="188" t="str" cm="1">
        <f t="array" ref="F149">IF($C148="", "", INDEX($F$21:$F$136, MATCH($C148, $C$21:$C$136, 0) + 1))</f>
        <v/>
      </c>
      <c r="G149" s="462"/>
      <c r="H149" s="463" t="e">
        <f>VLOOKUP(F149,Sheet2!$A$2:$D$31,3,0)</f>
        <v>#N/A</v>
      </c>
      <c r="I149" s="464"/>
      <c r="J149" s="464"/>
      <c r="K149" s="465"/>
      <c r="L149" s="152"/>
      <c r="M149" s="153"/>
    </row>
    <row r="150" spans="1:13" s="135" customFormat="1" ht="16" customHeight="1">
      <c r="A150" s="175"/>
      <c r="B150" s="448">
        <f>B148+1</f>
        <v>5</v>
      </c>
      <c r="C150" s="450" t="str" cm="1">
        <f t="array" ref="C150">_xlfn.LET(_xlpm.DataBox, _xlfn.TOCOL(_xlfn.VSTACK($C$21:$C$40, $C$45:$C$64, $C$69:$C$88, $C$93:$C$112, $C$117:$C$136), 3), _xlpm.CleanList, _xlfn.UNIQUE(_xlfn._xlws.FILTER(_xlpm.DataBox, _xlpm.DataBox&lt;&gt;0)), _xlpm.Urutan, ROUNDUP(ROWS($C$142:C150)/2, 0), IFERROR(INDEX(_xlpm.CleanList, _xlpm.Urutan), ""))</f>
        <v/>
      </c>
      <c r="D150" s="199" t="str">
        <f t="shared" ref="D150" si="55">IF($C150="", "", VLOOKUP($C150, $C$21:$D$136, 2, FALSE))</f>
        <v/>
      </c>
      <c r="E150" s="450" t="str">
        <f t="shared" ref="E150" si="56">IF($C150="", "", VLOOKUP($C150, $C$21:$E$136, 3, FALSE))</f>
        <v/>
      </c>
      <c r="F150" s="188" t="str">
        <f t="shared" ref="F150" si="57">IF($C150="", "", INDEX($F$21:$F$136, MATCH($C150, $C$21:$C$136, 0)))</f>
        <v/>
      </c>
      <c r="G150" s="462" t="str">
        <f t="shared" ref="G150" si="58">IF($C150="", "", SUMIF($C$21:$C$136, $C150, G$21:G$136))</f>
        <v/>
      </c>
      <c r="H150" s="463" t="e">
        <f>VLOOKUP(F150,Sheet2!$A$2:$D$31,3,0)</f>
        <v>#N/A</v>
      </c>
      <c r="I150" s="464" t="str">
        <f t="shared" ref="I150:J150" si="59">IF($C150="", "", SUMIF($C$21:$C$136, $C150, I$21:I$136))</f>
        <v/>
      </c>
      <c r="J150" s="464" t="str">
        <f t="shared" si="59"/>
        <v/>
      </c>
      <c r="K150" s="459" t="str">
        <f>IF($C150="", "", SUMIF($C$21:$C$136, $C150, K$21:K$136))</f>
        <v/>
      </c>
      <c r="L150" s="152"/>
      <c r="M150" s="153"/>
    </row>
    <row r="151" spans="1:13" s="135" customFormat="1" ht="16" customHeight="1">
      <c r="A151" s="175"/>
      <c r="B151" s="448"/>
      <c r="C151" s="450"/>
      <c r="D151" s="359" t="str" cm="1">
        <f t="array" ref="D151">IF($C150="", "", INDEX($D$21:$D$136, MATCH($C150, $C$21:$C$136, 0) + 1))</f>
        <v/>
      </c>
      <c r="E151" s="450"/>
      <c r="F151" s="188" t="str" cm="1">
        <f t="array" ref="F151">IF($C150="", "", INDEX($F$21:$F$136, MATCH($C150, $C$21:$C$136, 0) + 1))</f>
        <v/>
      </c>
      <c r="G151" s="462"/>
      <c r="H151" s="463" t="e">
        <f>VLOOKUP(F151,Sheet2!$A$2:$D$31,3,0)</f>
        <v>#N/A</v>
      </c>
      <c r="I151" s="464"/>
      <c r="J151" s="464"/>
      <c r="K151" s="465"/>
      <c r="L151" s="152"/>
      <c r="M151" s="153"/>
    </row>
    <row r="152" spans="1:13" s="135" customFormat="1" ht="16" customHeight="1">
      <c r="A152" s="175"/>
      <c r="B152" s="448">
        <f>B150+1</f>
        <v>6</v>
      </c>
      <c r="C152" s="450" t="str" cm="1">
        <f t="array" ref="C152">_xlfn.LET(_xlpm.DataBox, _xlfn.TOCOL(_xlfn.VSTACK($C$21:$C$40, $C$45:$C$64, $C$69:$C$88, $C$93:$C$112, $C$117:$C$136), 3), _xlpm.CleanList, _xlfn.UNIQUE(_xlfn._xlws.FILTER(_xlpm.DataBox, _xlpm.DataBox&lt;&gt;0)), _xlpm.Urutan, ROUNDUP(ROWS($C$142:C152)/2, 0), IFERROR(INDEX(_xlpm.CleanList, _xlpm.Urutan), ""))</f>
        <v/>
      </c>
      <c r="D152" s="359" t="str">
        <f t="shared" ref="D152" si="60">IF($C152="", "", VLOOKUP($C152, $C$21:$D$136, 2, FALSE))</f>
        <v/>
      </c>
      <c r="E152" s="450" t="str">
        <f t="shared" ref="E152" si="61">IF($C152="", "", VLOOKUP($C152, $C$21:$E$136, 3, FALSE))</f>
        <v/>
      </c>
      <c r="F152" s="188" t="str">
        <f t="shared" ref="F152" si="62">IF($C152="", "", INDEX($F$21:$F$136, MATCH($C152, $C$21:$C$136, 0)))</f>
        <v/>
      </c>
      <c r="G152" s="462" t="str">
        <f t="shared" ref="G152" si="63">IF($C152="", "", SUMIF($C$21:$C$136, $C152, G$21:G$136))</f>
        <v/>
      </c>
      <c r="H152" s="463" t="e">
        <f>VLOOKUP(F152,Sheet2!$A$2:$D$31,3,0)</f>
        <v>#N/A</v>
      </c>
      <c r="I152" s="464" t="str">
        <f t="shared" ref="I152:J152" si="64">IF($C152="", "", SUMIF($C$21:$C$136, $C152, I$21:I$136))</f>
        <v/>
      </c>
      <c r="J152" s="464" t="str">
        <f t="shared" si="64"/>
        <v/>
      </c>
      <c r="K152" s="459" t="str">
        <f>IF($C152="", "", SUMIF($C$21:$C$136, $C152, K$21:K$136))</f>
        <v/>
      </c>
      <c r="L152" s="152"/>
      <c r="M152" s="153"/>
    </row>
    <row r="153" spans="1:13" s="135" customFormat="1" ht="16" customHeight="1">
      <c r="A153" s="175"/>
      <c r="B153" s="448"/>
      <c r="C153" s="450"/>
      <c r="D153" s="359" t="str" cm="1">
        <f t="array" ref="D153">IF($C152="", "", INDEX($D$21:$D$136, MATCH($C152, $C$21:$C$136, 0) + 1))</f>
        <v/>
      </c>
      <c r="E153" s="450"/>
      <c r="F153" s="188" t="str" cm="1">
        <f t="array" ref="F153">IF($C152="", "", INDEX($F$21:$F$136, MATCH($C152, $C$21:$C$136, 0) + 1))</f>
        <v/>
      </c>
      <c r="G153" s="462"/>
      <c r="H153" s="463" t="e">
        <f>VLOOKUP(F153,Sheet2!$A$2:$D$31,3,0)</f>
        <v>#N/A</v>
      </c>
      <c r="I153" s="464"/>
      <c r="J153" s="464"/>
      <c r="K153" s="465"/>
      <c r="L153" s="152"/>
      <c r="M153" s="153"/>
    </row>
    <row r="154" spans="1:13" s="135" customFormat="1" ht="16" customHeight="1">
      <c r="A154" s="175"/>
      <c r="B154" s="448">
        <f>B152+1</f>
        <v>7</v>
      </c>
      <c r="C154" s="450" t="str" cm="1">
        <f t="array" ref="C154">_xlfn.LET(_xlpm.DataBox, _xlfn.TOCOL(_xlfn.VSTACK($C$21:$C$40, $C$45:$C$64, $C$69:$C$88, $C$93:$C$112, $C$117:$C$136), 3), _xlpm.CleanList, _xlfn.UNIQUE(_xlfn._xlws.FILTER(_xlpm.DataBox, _xlpm.DataBox&lt;&gt;0)), _xlpm.Urutan, ROUNDUP(ROWS($C$142:C154)/2, 0), IFERROR(INDEX(_xlpm.CleanList, _xlpm.Urutan), ""))</f>
        <v/>
      </c>
      <c r="D154" s="359" t="str">
        <f t="shared" ref="D154" si="65">IF($C154="", "", VLOOKUP($C154, $C$21:$D$136, 2, FALSE))</f>
        <v/>
      </c>
      <c r="E154" s="450" t="str">
        <f t="shared" ref="E154" si="66">IF($C154="", "", VLOOKUP($C154, $C$21:$E$136, 3, FALSE))</f>
        <v/>
      </c>
      <c r="F154" s="188" t="str">
        <f t="shared" ref="F154" si="67">IF($C154="", "", INDEX($F$21:$F$136, MATCH($C154, $C$21:$C$136, 0)))</f>
        <v/>
      </c>
      <c r="G154" s="462" t="str">
        <f t="shared" ref="G154" si="68">IF($C154="", "", SUMIF($C$21:$C$136, $C154, G$21:G$136))</f>
        <v/>
      </c>
      <c r="H154" s="463" t="e">
        <f>VLOOKUP(F154,Sheet2!$A$2:$D$31,3,0)</f>
        <v>#N/A</v>
      </c>
      <c r="I154" s="464" t="str">
        <f t="shared" ref="I154:J154" si="69">IF($C154="", "", SUMIF($C$21:$C$136, $C154, I$21:I$136))</f>
        <v/>
      </c>
      <c r="J154" s="464" t="str">
        <f t="shared" si="69"/>
        <v/>
      </c>
      <c r="K154" s="459" t="str">
        <f>IF($C154="", "", SUMIF($C$21:$C$136, $C154, K$21:K$136))</f>
        <v/>
      </c>
      <c r="L154" s="152"/>
      <c r="M154" s="153"/>
    </row>
    <row r="155" spans="1:13" s="135" customFormat="1" ht="16" customHeight="1">
      <c r="A155" s="175"/>
      <c r="B155" s="448"/>
      <c r="C155" s="450"/>
      <c r="D155" s="359" t="str" cm="1">
        <f t="array" ref="D155">IF($C154="", "", INDEX($D$21:$D$136, MATCH($C154, $C$21:$C$136, 0) + 1))</f>
        <v/>
      </c>
      <c r="E155" s="450"/>
      <c r="F155" s="188" t="str" cm="1">
        <f t="array" ref="F155">IF($C154="", "", INDEX($F$21:$F$136, MATCH($C154, $C$21:$C$136, 0) + 1))</f>
        <v/>
      </c>
      <c r="G155" s="462"/>
      <c r="H155" s="463" t="e">
        <f>VLOOKUP(F155,Sheet2!$A$2:$D$31,3,0)</f>
        <v>#N/A</v>
      </c>
      <c r="I155" s="464"/>
      <c r="J155" s="464"/>
      <c r="K155" s="465"/>
      <c r="L155" s="152"/>
      <c r="M155" s="153"/>
    </row>
    <row r="156" spans="1:13" s="135" customFormat="1" ht="16" customHeight="1">
      <c r="A156" s="175"/>
      <c r="B156" s="448">
        <f>B154+1</f>
        <v>8</v>
      </c>
      <c r="C156" s="450" t="str" cm="1">
        <f t="array" ref="C156">_xlfn.LET(_xlpm.DataBox, _xlfn.TOCOL(_xlfn.VSTACK($C$21:$C$40, $C$45:$C$64, $C$69:$C$88, $C$93:$C$112, $C$117:$C$136), 3), _xlpm.CleanList, _xlfn.UNIQUE(_xlfn._xlws.FILTER(_xlpm.DataBox, _xlpm.DataBox&lt;&gt;0)), _xlpm.Urutan, ROUNDUP(ROWS($C$142:C156)/2, 0), IFERROR(INDEX(_xlpm.CleanList, _xlpm.Urutan), ""))</f>
        <v/>
      </c>
      <c r="D156" s="359" t="str">
        <f t="shared" ref="D156" si="70">IF($C156="", "", VLOOKUP($C156, $C$21:$D$136, 2, FALSE))</f>
        <v/>
      </c>
      <c r="E156" s="450" t="str">
        <f t="shared" ref="E156" si="71">IF($C156="", "", VLOOKUP($C156, $C$21:$E$136, 3, FALSE))</f>
        <v/>
      </c>
      <c r="F156" s="188" t="str">
        <f t="shared" ref="F156" si="72">IF($C156="", "", INDEX($F$21:$F$136, MATCH($C156, $C$21:$C$136, 0)))</f>
        <v/>
      </c>
      <c r="G156" s="462" t="str">
        <f t="shared" ref="G156" si="73">IF($C156="", "", SUMIF($C$21:$C$136, $C156, G$21:G$136))</f>
        <v/>
      </c>
      <c r="H156" s="463" t="e">
        <f>VLOOKUP(F156,Sheet2!$A$2:$D$31,3,0)</f>
        <v>#N/A</v>
      </c>
      <c r="I156" s="464" t="str">
        <f t="shared" ref="I156:J156" si="74">IF($C156="", "", SUMIF($C$21:$C$136, $C156, I$21:I$136))</f>
        <v/>
      </c>
      <c r="J156" s="464" t="str">
        <f t="shared" si="74"/>
        <v/>
      </c>
      <c r="K156" s="459" t="str">
        <f>IF($C156="", "", SUMIF($C$21:$C$136, $C156, K$21:K$136))</f>
        <v/>
      </c>
      <c r="L156" s="152"/>
      <c r="M156" s="153"/>
    </row>
    <row r="157" spans="1:13" s="135" customFormat="1" ht="16" customHeight="1">
      <c r="A157" s="175"/>
      <c r="B157" s="448"/>
      <c r="C157" s="450"/>
      <c r="D157" s="359" t="str" cm="1">
        <f t="array" ref="D157">IF($C156="", "", INDEX($D$21:$D$136, MATCH($C156, $C$21:$C$136, 0) + 1))</f>
        <v/>
      </c>
      <c r="E157" s="450"/>
      <c r="F157" s="188" t="str" cm="1">
        <f t="array" ref="F157">IF($C156="", "", INDEX($F$21:$F$136, MATCH($C156, $C$21:$C$136, 0) + 1))</f>
        <v/>
      </c>
      <c r="G157" s="462"/>
      <c r="H157" s="463" t="e">
        <f>VLOOKUP(F157,Sheet2!$A$2:$D$31,3,0)</f>
        <v>#N/A</v>
      </c>
      <c r="I157" s="464"/>
      <c r="J157" s="464"/>
      <c r="K157" s="465"/>
      <c r="L157" s="152"/>
      <c r="M157" s="153"/>
    </row>
    <row r="158" spans="1:13" s="135" customFormat="1" ht="16" customHeight="1">
      <c r="A158" s="175"/>
      <c r="B158" s="448">
        <f>B156+1</f>
        <v>9</v>
      </c>
      <c r="C158" s="450" t="str" cm="1">
        <f t="array" ref="C158">_xlfn.LET(_xlpm.DataBox, _xlfn.TOCOL(_xlfn.VSTACK($C$21:$C$40, $C$45:$C$64, $C$69:$C$88, $C$93:$C$112, $C$117:$C$136), 3), _xlpm.CleanList, _xlfn.UNIQUE(_xlfn._xlws.FILTER(_xlpm.DataBox, _xlpm.DataBox&lt;&gt;0)), _xlpm.Urutan, ROUNDUP(ROWS($C$142:C158)/2, 0), IFERROR(INDEX(_xlpm.CleanList, _xlpm.Urutan), ""))</f>
        <v/>
      </c>
      <c r="D158" s="359" t="str">
        <f t="shared" ref="D158" si="75">IF($C158="", "", VLOOKUP($C158, $C$21:$D$136, 2, FALSE))</f>
        <v/>
      </c>
      <c r="E158" s="450" t="str">
        <f t="shared" ref="E158" si="76">IF($C158="", "", VLOOKUP($C158, $C$21:$E$136, 3, FALSE))</f>
        <v/>
      </c>
      <c r="F158" s="188" t="str">
        <f t="shared" ref="F158" si="77">IF($C158="", "", INDEX($F$21:$F$136, MATCH($C158, $C$21:$C$136, 0)))</f>
        <v/>
      </c>
      <c r="G158" s="462" t="str">
        <f t="shared" ref="G158" si="78">IF($C158="", "", SUMIF($C$21:$C$136, $C158, G$21:G$136))</f>
        <v/>
      </c>
      <c r="H158" s="463" t="e">
        <f>VLOOKUP(F158,Sheet2!$A$2:$D$31,3,0)</f>
        <v>#N/A</v>
      </c>
      <c r="I158" s="464" t="str">
        <f t="shared" ref="I158:J158" si="79">IF($C158="", "", SUMIF($C$21:$C$136, $C158, I$21:I$136))</f>
        <v/>
      </c>
      <c r="J158" s="464" t="str">
        <f t="shared" si="79"/>
        <v/>
      </c>
      <c r="K158" s="459" t="str">
        <f>IF($C158="", "", SUMIF($C$21:$C$136, $C158, K$21:K$136))</f>
        <v/>
      </c>
      <c r="L158" s="152"/>
      <c r="M158" s="153"/>
    </row>
    <row r="159" spans="1:13" s="135" customFormat="1" ht="16" customHeight="1">
      <c r="A159" s="175"/>
      <c r="B159" s="448"/>
      <c r="C159" s="450"/>
      <c r="D159" s="359" t="str" cm="1">
        <f t="array" ref="D159">IF($C158="", "", INDEX($D$21:$D$136, MATCH($C158, $C$21:$C$136, 0) + 1))</f>
        <v/>
      </c>
      <c r="E159" s="450"/>
      <c r="F159" s="188" t="str" cm="1">
        <f t="array" ref="F159">IF($C158="", "", INDEX($F$21:$F$136, MATCH($C158, $C$21:$C$136, 0) + 1))</f>
        <v/>
      </c>
      <c r="G159" s="462"/>
      <c r="H159" s="463" t="e">
        <f>VLOOKUP(F159,Sheet2!$A$2:$D$31,3,0)</f>
        <v>#N/A</v>
      </c>
      <c r="I159" s="464"/>
      <c r="J159" s="464"/>
      <c r="K159" s="465"/>
      <c r="L159" s="152"/>
      <c r="M159" s="153"/>
    </row>
    <row r="160" spans="1:13" s="135" customFormat="1" ht="16" customHeight="1">
      <c r="A160" s="175"/>
      <c r="B160" s="448">
        <f>B158+1</f>
        <v>10</v>
      </c>
      <c r="C160" s="450" t="str" cm="1">
        <f t="array" ref="C160">_xlfn.LET(_xlpm.DataBox, _xlfn.TOCOL(_xlfn.VSTACK($C$21:$C$40, $C$45:$C$64, $C$69:$C$88, $C$93:$C$112, $C$117:$C$136), 3), _xlpm.CleanList, _xlfn.UNIQUE(_xlfn._xlws.FILTER(_xlpm.DataBox, _xlpm.DataBox&lt;&gt;0)), _xlpm.Urutan, ROUNDUP(ROWS($C$142:C160)/2, 0), IFERROR(INDEX(_xlpm.CleanList, _xlpm.Urutan), ""))</f>
        <v/>
      </c>
      <c r="D160" s="199" t="str">
        <f t="shared" ref="D160" si="80">IF($C160="", "", VLOOKUP($C160, $C$21:$D$136, 2, FALSE))</f>
        <v/>
      </c>
      <c r="E160" s="450" t="str">
        <f t="shared" ref="E160" si="81">IF($C160="", "", VLOOKUP($C160, $C$21:$E$136, 3, FALSE))</f>
        <v/>
      </c>
      <c r="F160" s="188" t="str">
        <f t="shared" ref="F160" si="82">IF($C160="", "", INDEX($F$21:$F$136, MATCH($C160, $C$21:$C$136, 0)))</f>
        <v/>
      </c>
      <c r="G160" s="462" t="str">
        <f t="shared" ref="G160" si="83">IF($C160="", "", SUMIF($C$21:$C$136, $C160, G$21:G$136))</f>
        <v/>
      </c>
      <c r="H160" s="463" t="e">
        <f>VLOOKUP(F160,Sheet2!$A$2:$D$31,3,0)</f>
        <v>#N/A</v>
      </c>
      <c r="I160" s="464" t="str">
        <f t="shared" ref="I160:J160" si="84">IF($C160="", "", SUMIF($C$21:$C$136, $C160, I$21:I$136))</f>
        <v/>
      </c>
      <c r="J160" s="464" t="str">
        <f t="shared" si="84"/>
        <v/>
      </c>
      <c r="K160" s="459" t="str">
        <f>IF($C160="", "", SUMIF($C$21:$C$136, $C160, K$21:K$136))</f>
        <v/>
      </c>
      <c r="L160" s="152"/>
      <c r="M160" s="153"/>
    </row>
    <row r="161" spans="1:14" s="135" customFormat="1" ht="16" customHeight="1" thickBot="1">
      <c r="A161" s="175"/>
      <c r="B161" s="470"/>
      <c r="C161" s="471"/>
      <c r="D161" s="360" t="str" cm="1">
        <f t="array" ref="D161">IF($C160="", "", INDEX($D$21:$D$136, MATCH($C160, $C$21:$C$136, 0) + 1))</f>
        <v/>
      </c>
      <c r="E161" s="471"/>
      <c r="F161" s="190" t="str" cm="1">
        <f t="array" ref="F161">IF($C160="", "", INDEX($F$21:$F$136, MATCH($C160, $C$21:$C$136, 0) + 1))</f>
        <v/>
      </c>
      <c r="G161" s="472"/>
      <c r="H161" s="473" t="e">
        <f>VLOOKUP(F161,Sheet2!$A$2:$D$31,3,0)</f>
        <v>#N/A</v>
      </c>
      <c r="I161" s="466"/>
      <c r="J161" s="466"/>
      <c r="K161" s="465"/>
      <c r="L161" s="152"/>
      <c r="M161" s="153"/>
    </row>
    <row r="162" spans="1:14" s="135" customFormat="1" ht="33.5" customHeight="1" thickBot="1">
      <c r="A162" s="175"/>
      <c r="B162" s="488" t="s">
        <v>48</v>
      </c>
      <c r="C162" s="489"/>
      <c r="D162" s="489"/>
      <c r="E162" s="489"/>
      <c r="F162" s="191"/>
      <c r="G162" s="490">
        <f>SUM(G142:G161)</f>
        <v>0</v>
      </c>
      <c r="H162" s="490"/>
      <c r="I162" s="192">
        <f>SUM(I142:I161)</f>
        <v>0</v>
      </c>
      <c r="J162" s="192">
        <f>SUM(J142:J161)</f>
        <v>0</v>
      </c>
      <c r="K162" s="193">
        <f>SUM(K142:K161)</f>
        <v>0</v>
      </c>
      <c r="M162" s="152"/>
      <c r="N162" s="153"/>
    </row>
    <row r="163" spans="1:14" s="135" customFormat="1" ht="33.5" hidden="1" customHeight="1" thickBot="1">
      <c r="A163" s="175"/>
      <c r="B163" s="119"/>
      <c r="C163" s="173"/>
      <c r="D163" s="119"/>
      <c r="E163" s="118"/>
      <c r="F163" s="118"/>
      <c r="G163" s="120"/>
      <c r="H163" s="194"/>
      <c r="I163" s="195"/>
      <c r="J163" s="366" t="s">
        <v>141</v>
      </c>
      <c r="K163" s="367">
        <v>30</v>
      </c>
      <c r="L163" s="121"/>
      <c r="M163" s="152"/>
      <c r="N163" s="153"/>
    </row>
    <row r="164" spans="1:14" s="135" customFormat="1" ht="39.5" hidden="1" customHeight="1" thickBot="1">
      <c r="A164" s="175"/>
      <c r="B164" s="119"/>
      <c r="C164" s="173"/>
      <c r="D164" s="119"/>
      <c r="E164" s="118"/>
      <c r="F164" s="118"/>
      <c r="G164" s="120"/>
      <c r="H164" s="194"/>
      <c r="I164" s="195"/>
      <c r="J164" s="356" t="s">
        <v>47</v>
      </c>
      <c r="K164" s="193">
        <f>SUM(K162:K163)</f>
        <v>30</v>
      </c>
      <c r="L164" s="121"/>
      <c r="M164" s="152"/>
      <c r="N164" s="153"/>
    </row>
    <row r="165" spans="1:14" s="135" customFormat="1" ht="15.5">
      <c r="A165" s="175"/>
      <c r="B165" s="119"/>
      <c r="C165" s="173"/>
      <c r="D165" s="119"/>
      <c r="F165" s="118"/>
      <c r="G165" s="120"/>
      <c r="H165" s="194"/>
      <c r="I165" s="195"/>
      <c r="J165" s="195"/>
      <c r="K165" s="121"/>
      <c r="L165" s="121"/>
      <c r="M165" s="152"/>
      <c r="N165" s="153"/>
    </row>
    <row r="166" spans="1:14" s="135" customFormat="1" ht="15.5">
      <c r="A166" s="175"/>
      <c r="B166" s="119"/>
      <c r="C166" s="173"/>
      <c r="D166" s="119"/>
      <c r="F166" s="118"/>
      <c r="G166" s="120"/>
      <c r="H166" s="194"/>
      <c r="I166" s="153"/>
      <c r="J166" s="195"/>
      <c r="K166" s="121"/>
      <c r="L166" s="121"/>
      <c r="M166" s="152"/>
      <c r="N166" s="153"/>
    </row>
    <row r="167" spans="1:14" s="135" customFormat="1" ht="15.5">
      <c r="A167" s="175"/>
      <c r="B167" s="119"/>
      <c r="C167" s="173"/>
      <c r="D167" s="119"/>
      <c r="F167" s="118"/>
      <c r="G167" s="120"/>
      <c r="H167" s="194"/>
      <c r="I167" s="153"/>
      <c r="J167" s="195"/>
      <c r="K167" s="121"/>
      <c r="L167" s="121"/>
      <c r="M167" s="152"/>
      <c r="N167" s="153"/>
    </row>
    <row r="168" spans="1:14" s="135" customFormat="1" ht="15.5">
      <c r="A168" s="175"/>
      <c r="B168" s="119"/>
      <c r="C168" s="173"/>
      <c r="D168" s="119"/>
      <c r="F168" s="118"/>
      <c r="G168" s="120"/>
      <c r="H168" s="194"/>
      <c r="J168" s="195"/>
      <c r="K168" s="121"/>
      <c r="L168" s="121"/>
      <c r="M168" s="152"/>
      <c r="N168" s="153"/>
    </row>
    <row r="169" spans="1:14" s="135" customFormat="1" ht="15.5">
      <c r="A169" s="175"/>
      <c r="B169" s="119"/>
      <c r="C169" s="173"/>
      <c r="D169" s="119"/>
      <c r="F169" s="118"/>
      <c r="G169" s="120"/>
      <c r="H169" s="194"/>
      <c r="J169" s="195"/>
      <c r="K169" s="121"/>
      <c r="L169" s="121"/>
      <c r="M169" s="152"/>
      <c r="N169" s="153"/>
    </row>
    <row r="170" spans="1:14" s="135" customFormat="1" ht="15.5">
      <c r="A170" s="175"/>
      <c r="B170" s="119"/>
      <c r="C170" s="173"/>
      <c r="D170" s="119"/>
      <c r="E170" s="196" t="s">
        <v>49</v>
      </c>
      <c r="F170" s="118"/>
      <c r="G170" s="120"/>
      <c r="H170" s="194"/>
      <c r="J170" s="195"/>
      <c r="K170" s="121"/>
      <c r="L170" s="121"/>
      <c r="M170" s="152"/>
      <c r="N170" s="153"/>
    </row>
    <row r="171" spans="1:14" s="135" customFormat="1" ht="15.5">
      <c r="A171" s="175"/>
      <c r="B171" s="119"/>
      <c r="C171" s="173"/>
      <c r="D171" s="119"/>
      <c r="E171" s="196"/>
      <c r="F171" s="118"/>
      <c r="G171" s="120"/>
      <c r="H171" s="194"/>
      <c r="J171" s="195"/>
      <c r="K171" s="121"/>
      <c r="L171" s="121"/>
      <c r="M171" s="152"/>
      <c r="N171" s="153"/>
    </row>
    <row r="172" spans="1:14" s="135" customFormat="1" ht="15.5">
      <c r="A172" s="175"/>
      <c r="B172" s="119"/>
      <c r="C172" s="173"/>
      <c r="D172" s="119"/>
      <c r="E172" s="196"/>
      <c r="F172" s="118"/>
      <c r="G172" s="120"/>
      <c r="H172" s="194"/>
      <c r="I172" s="153"/>
      <c r="J172" s="195"/>
      <c r="K172" s="121"/>
      <c r="L172" s="121"/>
      <c r="M172" s="152"/>
      <c r="N172" s="153"/>
    </row>
    <row r="173" spans="1:14" ht="10.5" customHeight="1">
      <c r="A173" s="142"/>
      <c r="B173" s="142"/>
      <c r="C173" s="142"/>
      <c r="D173" s="142"/>
      <c r="E173" s="197" t="s">
        <v>50</v>
      </c>
      <c r="F173" s="142"/>
      <c r="G173" s="142"/>
      <c r="H173" s="142"/>
      <c r="I173" s="142"/>
      <c r="J173" s="198"/>
      <c r="K173" s="142"/>
      <c r="L173" s="142"/>
      <c r="M173" s="141"/>
      <c r="N173" s="142"/>
    </row>
    <row r="174" spans="1:14" ht="10.5" customHeight="1">
      <c r="A174" s="142"/>
      <c r="B174" s="142"/>
      <c r="C174" s="142"/>
      <c r="D174" s="142"/>
      <c r="E174" s="142"/>
      <c r="F174" s="142"/>
      <c r="G174" s="142"/>
      <c r="H174" s="142"/>
      <c r="I174" s="142"/>
      <c r="J174" s="198"/>
      <c r="K174" s="142"/>
      <c r="L174" s="142"/>
      <c r="M174" s="141"/>
      <c r="N174" s="142"/>
    </row>
    <row r="175" spans="1:14" ht="10.5" customHeight="1">
      <c r="A175" s="142"/>
      <c r="B175" s="142"/>
      <c r="C175" s="142"/>
      <c r="D175" s="142"/>
      <c r="E175" s="142"/>
      <c r="F175" s="142"/>
      <c r="G175" s="142"/>
      <c r="H175" s="142"/>
      <c r="I175" s="142"/>
      <c r="J175" s="198"/>
      <c r="K175" s="142"/>
      <c r="L175" s="142"/>
      <c r="M175" s="141"/>
      <c r="N175" s="142"/>
    </row>
    <row r="176" spans="1:14" ht="10.5" customHeight="1">
      <c r="A176" s="142"/>
      <c r="B176" s="142"/>
      <c r="C176" s="142"/>
      <c r="D176" s="142"/>
      <c r="E176" s="142"/>
      <c r="F176" s="142"/>
      <c r="G176" s="142"/>
      <c r="H176" s="142"/>
      <c r="I176" s="142"/>
      <c r="J176" s="198"/>
      <c r="K176" s="142"/>
      <c r="L176" s="142"/>
      <c r="M176" s="141"/>
      <c r="N176" s="142"/>
    </row>
    <row r="177" spans="1:14" ht="10.5" customHeight="1">
      <c r="A177" s="142"/>
      <c r="B177" s="142"/>
      <c r="C177" s="142"/>
      <c r="D177" s="142"/>
      <c r="E177" s="142"/>
      <c r="F177" s="142"/>
      <c r="G177" s="142"/>
      <c r="H177" s="142"/>
      <c r="I177" s="142"/>
      <c r="J177" s="198"/>
      <c r="K177" s="142"/>
      <c r="L177" s="142"/>
      <c r="M177" s="141"/>
      <c r="N177" s="142"/>
    </row>
    <row r="178" spans="1:14" ht="10.5" customHeight="1">
      <c r="A178" s="142"/>
      <c r="B178" s="142"/>
      <c r="C178" s="142"/>
      <c r="D178" s="142"/>
      <c r="E178" s="142"/>
      <c r="F178" s="142"/>
      <c r="G178" s="142"/>
      <c r="H178" s="142"/>
      <c r="I178" s="142"/>
      <c r="J178" s="198"/>
      <c r="K178" s="142"/>
      <c r="L178" s="142"/>
      <c r="M178" s="141"/>
      <c r="N178" s="142"/>
    </row>
    <row r="179" spans="1:14" ht="10.5" customHeight="1">
      <c r="A179" s="142"/>
      <c r="B179" s="142"/>
      <c r="C179" s="142"/>
      <c r="D179" s="142"/>
      <c r="E179" s="142"/>
      <c r="F179" s="142"/>
      <c r="G179" s="142"/>
      <c r="H179" s="142"/>
      <c r="I179" s="142"/>
      <c r="J179" s="198"/>
      <c r="K179" s="142"/>
      <c r="L179" s="142"/>
      <c r="M179" s="141"/>
      <c r="N179" s="142"/>
    </row>
  </sheetData>
  <mergeCells count="543">
    <mergeCell ref="K160:K161"/>
    <mergeCell ref="B162:E162"/>
    <mergeCell ref="G162:H162"/>
    <mergeCell ref="J158:J159"/>
    <mergeCell ref="K158:K159"/>
    <mergeCell ref="B160:B161"/>
    <mergeCell ref="C160:C161"/>
    <mergeCell ref="E160:E161"/>
    <mergeCell ref="G160:G161"/>
    <mergeCell ref="H160:H161"/>
    <mergeCell ref="I160:I161"/>
    <mergeCell ref="J160:J161"/>
    <mergeCell ref="B158:B159"/>
    <mergeCell ref="C158:C159"/>
    <mergeCell ref="E158:E159"/>
    <mergeCell ref="G158:G159"/>
    <mergeCell ref="H158:H159"/>
    <mergeCell ref="I158:I159"/>
    <mergeCell ref="K156:K157"/>
    <mergeCell ref="K152:K153"/>
    <mergeCell ref="K154:K155"/>
    <mergeCell ref="B154:B155"/>
    <mergeCell ref="C154:C155"/>
    <mergeCell ref="E154:E155"/>
    <mergeCell ref="G154:G155"/>
    <mergeCell ref="H154:H155"/>
    <mergeCell ref="I154:I155"/>
    <mergeCell ref="J154:J155"/>
    <mergeCell ref="B156:B157"/>
    <mergeCell ref="C156:C157"/>
    <mergeCell ref="E156:E157"/>
    <mergeCell ref="G156:G157"/>
    <mergeCell ref="H156:H157"/>
    <mergeCell ref="I156:I157"/>
    <mergeCell ref="J156:J157"/>
    <mergeCell ref="J150:J151"/>
    <mergeCell ref="K150:K151"/>
    <mergeCell ref="B152:B153"/>
    <mergeCell ref="C152:C153"/>
    <mergeCell ref="E152:E153"/>
    <mergeCell ref="G152:G153"/>
    <mergeCell ref="H152:H153"/>
    <mergeCell ref="I152:I153"/>
    <mergeCell ref="J152:J153"/>
    <mergeCell ref="B150:B151"/>
    <mergeCell ref="C150:C151"/>
    <mergeCell ref="E150:E151"/>
    <mergeCell ref="G150:G151"/>
    <mergeCell ref="H150:H151"/>
    <mergeCell ref="I150:I151"/>
    <mergeCell ref="B146:B147"/>
    <mergeCell ref="C146:C147"/>
    <mergeCell ref="E146:E147"/>
    <mergeCell ref="G146:G147"/>
    <mergeCell ref="H146:H147"/>
    <mergeCell ref="I146:I147"/>
    <mergeCell ref="J146:J147"/>
    <mergeCell ref="K146:K147"/>
    <mergeCell ref="B148:B149"/>
    <mergeCell ref="C148:C149"/>
    <mergeCell ref="E148:E149"/>
    <mergeCell ref="G148:G149"/>
    <mergeCell ref="H148:H149"/>
    <mergeCell ref="I148:I149"/>
    <mergeCell ref="J148:J149"/>
    <mergeCell ref="K148:K149"/>
    <mergeCell ref="J142:J143"/>
    <mergeCell ref="K142:K143"/>
    <mergeCell ref="B144:B145"/>
    <mergeCell ref="C144:C145"/>
    <mergeCell ref="E144:E145"/>
    <mergeCell ref="G144:G145"/>
    <mergeCell ref="H144:H145"/>
    <mergeCell ref="I144:I145"/>
    <mergeCell ref="J144:J145"/>
    <mergeCell ref="B142:B143"/>
    <mergeCell ref="C142:C143"/>
    <mergeCell ref="E142:E143"/>
    <mergeCell ref="G142:G143"/>
    <mergeCell ref="H142:H143"/>
    <mergeCell ref="I142:I143"/>
    <mergeCell ref="K144:K145"/>
    <mergeCell ref="J135:J136"/>
    <mergeCell ref="K135:K136"/>
    <mergeCell ref="L135:L136"/>
    <mergeCell ref="B137:E137"/>
    <mergeCell ref="G141:H141"/>
    <mergeCell ref="B135:B136"/>
    <mergeCell ref="C135:C136"/>
    <mergeCell ref="E135:E136"/>
    <mergeCell ref="G135:G136"/>
    <mergeCell ref="H135:H136"/>
    <mergeCell ref="I135:I136"/>
    <mergeCell ref="G137:H137"/>
    <mergeCell ref="B140:K140"/>
    <mergeCell ref="B133:B134"/>
    <mergeCell ref="C133:C134"/>
    <mergeCell ref="E133:E134"/>
    <mergeCell ref="G133:G134"/>
    <mergeCell ref="H133:H134"/>
    <mergeCell ref="I133:I134"/>
    <mergeCell ref="J133:J134"/>
    <mergeCell ref="K133:K134"/>
    <mergeCell ref="L133:L134"/>
    <mergeCell ref="B131:B132"/>
    <mergeCell ref="C131:C132"/>
    <mergeCell ref="E131:E132"/>
    <mergeCell ref="G131:G132"/>
    <mergeCell ref="H131:H132"/>
    <mergeCell ref="I131:I132"/>
    <mergeCell ref="J131:J132"/>
    <mergeCell ref="K131:K132"/>
    <mergeCell ref="L131:L132"/>
    <mergeCell ref="J127:J128"/>
    <mergeCell ref="K127:K128"/>
    <mergeCell ref="L127:L128"/>
    <mergeCell ref="B129:B130"/>
    <mergeCell ref="C129:C130"/>
    <mergeCell ref="E129:E130"/>
    <mergeCell ref="G129:G130"/>
    <mergeCell ref="H129:H130"/>
    <mergeCell ref="I129:I130"/>
    <mergeCell ref="J129:J130"/>
    <mergeCell ref="B127:B128"/>
    <mergeCell ref="C127:C128"/>
    <mergeCell ref="E127:E128"/>
    <mergeCell ref="G127:G128"/>
    <mergeCell ref="H127:H128"/>
    <mergeCell ref="I127:I128"/>
    <mergeCell ref="K129:K130"/>
    <mergeCell ref="L129:L130"/>
    <mergeCell ref="B125:B126"/>
    <mergeCell ref="C125:C126"/>
    <mergeCell ref="E125:E126"/>
    <mergeCell ref="G125:G126"/>
    <mergeCell ref="H125:H126"/>
    <mergeCell ref="I125:I126"/>
    <mergeCell ref="J125:J126"/>
    <mergeCell ref="K125:K126"/>
    <mergeCell ref="L125:L126"/>
    <mergeCell ref="B123:B124"/>
    <mergeCell ref="C123:C124"/>
    <mergeCell ref="E123:E124"/>
    <mergeCell ref="G123:G124"/>
    <mergeCell ref="H123:H124"/>
    <mergeCell ref="I123:I124"/>
    <mergeCell ref="J123:J124"/>
    <mergeCell ref="K123:K124"/>
    <mergeCell ref="L123:L124"/>
    <mergeCell ref="B121:B122"/>
    <mergeCell ref="C121:C122"/>
    <mergeCell ref="E121:E122"/>
    <mergeCell ref="G121:G122"/>
    <mergeCell ref="H121:H122"/>
    <mergeCell ref="I121:I122"/>
    <mergeCell ref="J121:J122"/>
    <mergeCell ref="K121:K122"/>
    <mergeCell ref="L121:L122"/>
    <mergeCell ref="B119:B120"/>
    <mergeCell ref="C119:C120"/>
    <mergeCell ref="E119:E120"/>
    <mergeCell ref="G119:G120"/>
    <mergeCell ref="H119:H120"/>
    <mergeCell ref="I119:I120"/>
    <mergeCell ref="J119:J120"/>
    <mergeCell ref="K119:K120"/>
    <mergeCell ref="L119:L120"/>
    <mergeCell ref="J111:J112"/>
    <mergeCell ref="K111:K112"/>
    <mergeCell ref="L111:L112"/>
    <mergeCell ref="B113:E113"/>
    <mergeCell ref="G116:H116"/>
    <mergeCell ref="B117:B118"/>
    <mergeCell ref="C117:C118"/>
    <mergeCell ref="E117:E118"/>
    <mergeCell ref="G117:G118"/>
    <mergeCell ref="H117:H118"/>
    <mergeCell ref="B111:B112"/>
    <mergeCell ref="C111:C112"/>
    <mergeCell ref="E111:E112"/>
    <mergeCell ref="G111:G112"/>
    <mergeCell ref="H111:H112"/>
    <mergeCell ref="I111:I112"/>
    <mergeCell ref="G113:H113"/>
    <mergeCell ref="I117:I118"/>
    <mergeCell ref="J117:J118"/>
    <mergeCell ref="K117:K118"/>
    <mergeCell ref="L117:L118"/>
    <mergeCell ref="B109:B110"/>
    <mergeCell ref="C109:C110"/>
    <mergeCell ref="E109:E110"/>
    <mergeCell ref="G109:G110"/>
    <mergeCell ref="H109:H110"/>
    <mergeCell ref="I109:I110"/>
    <mergeCell ref="J109:J110"/>
    <mergeCell ref="K109:K110"/>
    <mergeCell ref="L109:L110"/>
    <mergeCell ref="B107:B108"/>
    <mergeCell ref="C107:C108"/>
    <mergeCell ref="E107:E108"/>
    <mergeCell ref="G107:G108"/>
    <mergeCell ref="H107:H108"/>
    <mergeCell ref="I107:I108"/>
    <mergeCell ref="J107:J108"/>
    <mergeCell ref="K107:K108"/>
    <mergeCell ref="L107:L108"/>
    <mergeCell ref="J103:J104"/>
    <mergeCell ref="K103:K104"/>
    <mergeCell ref="L103:L104"/>
    <mergeCell ref="B105:B106"/>
    <mergeCell ref="C105:C106"/>
    <mergeCell ref="E105:E106"/>
    <mergeCell ref="G105:G106"/>
    <mergeCell ref="H105:H106"/>
    <mergeCell ref="I105:I106"/>
    <mergeCell ref="J105:J106"/>
    <mergeCell ref="B103:B104"/>
    <mergeCell ref="C103:C104"/>
    <mergeCell ref="E103:E104"/>
    <mergeCell ref="G103:G104"/>
    <mergeCell ref="H103:H104"/>
    <mergeCell ref="I103:I104"/>
    <mergeCell ref="K105:K106"/>
    <mergeCell ref="L105:L106"/>
    <mergeCell ref="B101:B102"/>
    <mergeCell ref="C101:C102"/>
    <mergeCell ref="E101:E102"/>
    <mergeCell ref="G101:G102"/>
    <mergeCell ref="H101:H102"/>
    <mergeCell ref="I101:I102"/>
    <mergeCell ref="J101:J102"/>
    <mergeCell ref="K101:K102"/>
    <mergeCell ref="L101:L102"/>
    <mergeCell ref="B99:B100"/>
    <mergeCell ref="C99:C100"/>
    <mergeCell ref="E99:E100"/>
    <mergeCell ref="G99:G100"/>
    <mergeCell ref="H99:H100"/>
    <mergeCell ref="I99:I100"/>
    <mergeCell ref="J99:J100"/>
    <mergeCell ref="K99:K100"/>
    <mergeCell ref="L99:L100"/>
    <mergeCell ref="B97:B98"/>
    <mergeCell ref="C97:C98"/>
    <mergeCell ref="E97:E98"/>
    <mergeCell ref="G97:G98"/>
    <mergeCell ref="H97:H98"/>
    <mergeCell ref="I97:I98"/>
    <mergeCell ref="J97:J98"/>
    <mergeCell ref="K97:K98"/>
    <mergeCell ref="L97:L98"/>
    <mergeCell ref="B95:B96"/>
    <mergeCell ref="C95:C96"/>
    <mergeCell ref="E95:E96"/>
    <mergeCell ref="G95:G96"/>
    <mergeCell ref="H95:H96"/>
    <mergeCell ref="I95:I96"/>
    <mergeCell ref="J95:J96"/>
    <mergeCell ref="K95:K96"/>
    <mergeCell ref="L95:L96"/>
    <mergeCell ref="J87:J88"/>
    <mergeCell ref="K87:K88"/>
    <mergeCell ref="L87:L88"/>
    <mergeCell ref="B89:E89"/>
    <mergeCell ref="G92:H92"/>
    <mergeCell ref="B93:B94"/>
    <mergeCell ref="C93:C94"/>
    <mergeCell ref="E93:E94"/>
    <mergeCell ref="G93:G94"/>
    <mergeCell ref="H93:H94"/>
    <mergeCell ref="B87:B88"/>
    <mergeCell ref="C87:C88"/>
    <mergeCell ref="E87:E88"/>
    <mergeCell ref="G87:G88"/>
    <mergeCell ref="H87:H88"/>
    <mergeCell ref="I87:I88"/>
    <mergeCell ref="G89:H89"/>
    <mergeCell ref="I93:I94"/>
    <mergeCell ref="J93:J94"/>
    <mergeCell ref="K93:K94"/>
    <mergeCell ref="L93:L94"/>
    <mergeCell ref="B85:B86"/>
    <mergeCell ref="C85:C86"/>
    <mergeCell ref="E85:E86"/>
    <mergeCell ref="G85:G86"/>
    <mergeCell ref="H85:H86"/>
    <mergeCell ref="I85:I86"/>
    <mergeCell ref="J85:J86"/>
    <mergeCell ref="K85:K86"/>
    <mergeCell ref="L85:L86"/>
    <mergeCell ref="B83:B84"/>
    <mergeCell ref="C83:C84"/>
    <mergeCell ref="E83:E84"/>
    <mergeCell ref="G83:G84"/>
    <mergeCell ref="H83:H84"/>
    <mergeCell ref="I83:I84"/>
    <mergeCell ref="J83:J84"/>
    <mergeCell ref="K83:K84"/>
    <mergeCell ref="L83:L84"/>
    <mergeCell ref="J79:J80"/>
    <mergeCell ref="K79:K80"/>
    <mergeCell ref="L79:L80"/>
    <mergeCell ref="B81:B82"/>
    <mergeCell ref="C81:C82"/>
    <mergeCell ref="E81:E82"/>
    <mergeCell ref="G81:G82"/>
    <mergeCell ref="H81:H82"/>
    <mergeCell ref="I81:I82"/>
    <mergeCell ref="J81:J82"/>
    <mergeCell ref="B79:B80"/>
    <mergeCell ref="C79:C80"/>
    <mergeCell ref="E79:E80"/>
    <mergeCell ref="G79:G80"/>
    <mergeCell ref="H79:H80"/>
    <mergeCell ref="I79:I80"/>
    <mergeCell ref="K81:K82"/>
    <mergeCell ref="L81:L82"/>
    <mergeCell ref="B77:B78"/>
    <mergeCell ref="C77:C78"/>
    <mergeCell ref="E77:E78"/>
    <mergeCell ref="G77:G78"/>
    <mergeCell ref="H77:H78"/>
    <mergeCell ref="I77:I78"/>
    <mergeCell ref="J77:J78"/>
    <mergeCell ref="K77:K78"/>
    <mergeCell ref="L77:L78"/>
    <mergeCell ref="B75:B76"/>
    <mergeCell ref="C75:C76"/>
    <mergeCell ref="E75:E76"/>
    <mergeCell ref="G75:G76"/>
    <mergeCell ref="H75:H76"/>
    <mergeCell ref="I75:I76"/>
    <mergeCell ref="J75:J76"/>
    <mergeCell ref="K75:K76"/>
    <mergeCell ref="L75:L76"/>
    <mergeCell ref="B73:B74"/>
    <mergeCell ref="C73:C74"/>
    <mergeCell ref="E73:E74"/>
    <mergeCell ref="G73:G74"/>
    <mergeCell ref="H73:H74"/>
    <mergeCell ref="I73:I74"/>
    <mergeCell ref="J73:J74"/>
    <mergeCell ref="K73:K74"/>
    <mergeCell ref="L73:L74"/>
    <mergeCell ref="B71:B72"/>
    <mergeCell ref="C71:C72"/>
    <mergeCell ref="E71:E72"/>
    <mergeCell ref="G71:G72"/>
    <mergeCell ref="H71:H72"/>
    <mergeCell ref="I71:I72"/>
    <mergeCell ref="J71:J72"/>
    <mergeCell ref="K71:K72"/>
    <mergeCell ref="L71:L72"/>
    <mergeCell ref="J63:J64"/>
    <mergeCell ref="K63:K64"/>
    <mergeCell ref="L63:L64"/>
    <mergeCell ref="B65:E65"/>
    <mergeCell ref="G68:H68"/>
    <mergeCell ref="B69:B70"/>
    <mergeCell ref="C69:C70"/>
    <mergeCell ref="E69:E70"/>
    <mergeCell ref="G69:G70"/>
    <mergeCell ref="H69:H70"/>
    <mergeCell ref="B63:B64"/>
    <mergeCell ref="C63:C64"/>
    <mergeCell ref="E63:E64"/>
    <mergeCell ref="G63:G64"/>
    <mergeCell ref="H63:H64"/>
    <mergeCell ref="I63:I64"/>
    <mergeCell ref="I69:I70"/>
    <mergeCell ref="J69:J70"/>
    <mergeCell ref="K69:K70"/>
    <mergeCell ref="L69:L70"/>
    <mergeCell ref="G65:H65"/>
    <mergeCell ref="B61:B62"/>
    <mergeCell ref="C61:C62"/>
    <mergeCell ref="E61:E62"/>
    <mergeCell ref="G61:G62"/>
    <mergeCell ref="H61:H62"/>
    <mergeCell ref="I61:I62"/>
    <mergeCell ref="J61:J62"/>
    <mergeCell ref="K61:K62"/>
    <mergeCell ref="L61:L62"/>
    <mergeCell ref="B59:B60"/>
    <mergeCell ref="C59:C60"/>
    <mergeCell ref="E59:E60"/>
    <mergeCell ref="G59:G60"/>
    <mergeCell ref="H59:H60"/>
    <mergeCell ref="I59:I60"/>
    <mergeCell ref="J59:J60"/>
    <mergeCell ref="K59:K60"/>
    <mergeCell ref="L59:L60"/>
    <mergeCell ref="J55:J56"/>
    <mergeCell ref="K55:K56"/>
    <mergeCell ref="L55:L56"/>
    <mergeCell ref="B57:B58"/>
    <mergeCell ref="C57:C58"/>
    <mergeCell ref="E57:E58"/>
    <mergeCell ref="G57:G58"/>
    <mergeCell ref="H57:H58"/>
    <mergeCell ref="I57:I58"/>
    <mergeCell ref="J57:J58"/>
    <mergeCell ref="B55:B56"/>
    <mergeCell ref="C55:C56"/>
    <mergeCell ref="E55:E56"/>
    <mergeCell ref="G55:G56"/>
    <mergeCell ref="H55:H56"/>
    <mergeCell ref="I55:I56"/>
    <mergeCell ref="K57:K58"/>
    <mergeCell ref="L57:L58"/>
    <mergeCell ref="B53:B54"/>
    <mergeCell ref="C53:C54"/>
    <mergeCell ref="E53:E54"/>
    <mergeCell ref="G53:G54"/>
    <mergeCell ref="H53:H54"/>
    <mergeCell ref="I53:I54"/>
    <mergeCell ref="J53:J54"/>
    <mergeCell ref="K53:K54"/>
    <mergeCell ref="L53:L54"/>
    <mergeCell ref="B51:B52"/>
    <mergeCell ref="C51:C52"/>
    <mergeCell ref="E51:E52"/>
    <mergeCell ref="G51:G52"/>
    <mergeCell ref="H51:H52"/>
    <mergeCell ref="I51:I52"/>
    <mergeCell ref="J51:J52"/>
    <mergeCell ref="K51:K52"/>
    <mergeCell ref="L51:L52"/>
    <mergeCell ref="B49:B50"/>
    <mergeCell ref="C49:C50"/>
    <mergeCell ref="E49:E50"/>
    <mergeCell ref="G49:G50"/>
    <mergeCell ref="H49:H50"/>
    <mergeCell ref="I49:I50"/>
    <mergeCell ref="J49:J50"/>
    <mergeCell ref="K49:K50"/>
    <mergeCell ref="L49:L50"/>
    <mergeCell ref="L45:L46"/>
    <mergeCell ref="G41:H41"/>
    <mergeCell ref="B47:B48"/>
    <mergeCell ref="C47:C48"/>
    <mergeCell ref="E47:E48"/>
    <mergeCell ref="G47:G48"/>
    <mergeCell ref="H47:H48"/>
    <mergeCell ref="I47:I48"/>
    <mergeCell ref="J47:J48"/>
    <mergeCell ref="K47:K48"/>
    <mergeCell ref="L47:L48"/>
    <mergeCell ref="J39:J40"/>
    <mergeCell ref="K39:K40"/>
    <mergeCell ref="B41:E41"/>
    <mergeCell ref="G44:H44"/>
    <mergeCell ref="B45:B46"/>
    <mergeCell ref="C45:C46"/>
    <mergeCell ref="E45:E46"/>
    <mergeCell ref="G45:G46"/>
    <mergeCell ref="H45:H46"/>
    <mergeCell ref="B39:B40"/>
    <mergeCell ref="C39:C40"/>
    <mergeCell ref="E39:E40"/>
    <mergeCell ref="G39:G40"/>
    <mergeCell ref="H39:H40"/>
    <mergeCell ref="I39:I40"/>
    <mergeCell ref="I45:I46"/>
    <mergeCell ref="J45:J46"/>
    <mergeCell ref="K45:K46"/>
    <mergeCell ref="B35:B36"/>
    <mergeCell ref="C35:C36"/>
    <mergeCell ref="E35:E36"/>
    <mergeCell ref="G35:G36"/>
    <mergeCell ref="H35:H36"/>
    <mergeCell ref="I35:I36"/>
    <mergeCell ref="J35:J36"/>
    <mergeCell ref="K35:K36"/>
    <mergeCell ref="B37:B38"/>
    <mergeCell ref="C37:C38"/>
    <mergeCell ref="E37:E38"/>
    <mergeCell ref="G37:G38"/>
    <mergeCell ref="H37:H38"/>
    <mergeCell ref="I37:I38"/>
    <mergeCell ref="J37:J38"/>
    <mergeCell ref="K37:K38"/>
    <mergeCell ref="J31:J32"/>
    <mergeCell ref="K31:K32"/>
    <mergeCell ref="B33:B34"/>
    <mergeCell ref="C33:C34"/>
    <mergeCell ref="E33:E34"/>
    <mergeCell ref="G33:G34"/>
    <mergeCell ref="H33:H34"/>
    <mergeCell ref="I33:I34"/>
    <mergeCell ref="J33:J34"/>
    <mergeCell ref="B31:B32"/>
    <mergeCell ref="C31:C32"/>
    <mergeCell ref="E31:E32"/>
    <mergeCell ref="G31:G32"/>
    <mergeCell ref="H31:H32"/>
    <mergeCell ref="I31:I32"/>
    <mergeCell ref="K33:K34"/>
    <mergeCell ref="B27:B28"/>
    <mergeCell ref="C27:C28"/>
    <mergeCell ref="E27:E28"/>
    <mergeCell ref="G27:G28"/>
    <mergeCell ref="H27:H28"/>
    <mergeCell ref="I27:I28"/>
    <mergeCell ref="J27:J28"/>
    <mergeCell ref="K27:K28"/>
    <mergeCell ref="B29:B30"/>
    <mergeCell ref="C29:C30"/>
    <mergeCell ref="E29:E30"/>
    <mergeCell ref="G29:G30"/>
    <mergeCell ref="H29:H30"/>
    <mergeCell ref="I29:I30"/>
    <mergeCell ref="J29:J30"/>
    <mergeCell ref="K29:K30"/>
    <mergeCell ref="B23:B24"/>
    <mergeCell ref="C23:C24"/>
    <mergeCell ref="E23:E24"/>
    <mergeCell ref="G23:G24"/>
    <mergeCell ref="H23:H24"/>
    <mergeCell ref="I23:I24"/>
    <mergeCell ref="J23:J24"/>
    <mergeCell ref="K23:K24"/>
    <mergeCell ref="B25:B26"/>
    <mergeCell ref="C25:C26"/>
    <mergeCell ref="E25:E26"/>
    <mergeCell ref="G25:G26"/>
    <mergeCell ref="H25:H26"/>
    <mergeCell ref="I25:I26"/>
    <mergeCell ref="J25:J26"/>
    <mergeCell ref="K25:K26"/>
    <mergeCell ref="A1:L1"/>
    <mergeCell ref="A2:L2"/>
    <mergeCell ref="A3:L3"/>
    <mergeCell ref="G20:H20"/>
    <mergeCell ref="B21:B22"/>
    <mergeCell ref="C21:C22"/>
    <mergeCell ref="E21:E22"/>
    <mergeCell ref="G21:G22"/>
    <mergeCell ref="H21:H22"/>
    <mergeCell ref="I21:I22"/>
    <mergeCell ref="J21:J22"/>
    <mergeCell ref="K21:K22"/>
    <mergeCell ref="L6:L9"/>
  </mergeCells>
  <pageMargins left="0.16111111111111101" right="0.27152777777777798" top="9.7916666666666693E-2" bottom="9.7916666666666693E-2" header="0.16111111111111101" footer="0.16111111111111101"/>
  <pageSetup paperSize="9" scale="42" orientation="landscape" r:id="rId1"/>
  <headerFooter scaleWithDoc="0" alignWithMargins="0">
    <evenHeader>&amp;R&amp;9IV1910171019-0 page 2</evenHeader>
  </headerFooter>
  <ignoredErrors>
    <ignoredError sqref="F23:F39 D145:D159" formula="1"/>
    <ignoredError sqref="G21:H136 C21:E40 C45:E64 C117:E136 C93:E112 C69:E88 K117:K136" evalError="1"/>
    <ignoredError sqref="H142:H161" evalError="1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DB3E-76CA-4AC0-A6E3-105822DBDCFF}">
  <dimension ref="A1:N179"/>
  <sheetViews>
    <sheetView zoomScale="85" zoomScaleNormal="85" zoomScaleSheetLayoutView="55" workbookViewId="0">
      <selection activeCell="B21" sqref="B21:B22"/>
    </sheetView>
  </sheetViews>
  <sheetFormatPr defaultColWidth="9" defaultRowHeight="10.5" customHeight="1"/>
  <cols>
    <col min="1" max="1" width="13.33203125" style="133" customWidth="1"/>
    <col min="2" max="2" width="12.5" style="133" customWidth="1"/>
    <col min="3" max="3" width="20.58203125" style="133" customWidth="1"/>
    <col min="4" max="4" width="21.58203125" style="133" customWidth="1"/>
    <col min="5" max="5" width="25.33203125" style="133" customWidth="1"/>
    <col min="6" max="6" width="12.75" style="133" hidden="1" customWidth="1"/>
    <col min="7" max="8" width="6.08203125" style="133" customWidth="1"/>
    <col min="9" max="9" width="18.4140625" style="133" customWidth="1"/>
    <col min="10" max="10" width="18.4140625" style="136" customWidth="1"/>
    <col min="11" max="12" width="23.08203125" style="133" customWidth="1"/>
    <col min="13" max="13" width="17.6640625" style="132" customWidth="1"/>
    <col min="14" max="14" width="14.75" style="133" customWidth="1"/>
    <col min="15" max="15" width="20.08203125" style="133" customWidth="1"/>
    <col min="16" max="16" width="23" style="133" customWidth="1"/>
    <col min="17" max="16384" width="9" style="133"/>
  </cols>
  <sheetData>
    <row r="1" spans="1:14" s="131" customFormat="1" ht="24.75" customHeight="1">
      <c r="A1" s="441" t="s">
        <v>0</v>
      </c>
      <c r="B1" s="441"/>
      <c r="C1" s="441"/>
      <c r="D1" s="441"/>
      <c r="E1" s="441"/>
      <c r="F1" s="442"/>
      <c r="G1" s="441"/>
      <c r="H1" s="441"/>
      <c r="I1" s="441"/>
      <c r="J1" s="441"/>
      <c r="K1" s="441"/>
      <c r="L1" s="441"/>
      <c r="M1" s="139"/>
      <c r="N1" s="140"/>
    </row>
    <row r="2" spans="1:14" ht="15.75" customHeight="1">
      <c r="A2" s="443" t="s">
        <v>1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141"/>
      <c r="N2" s="142"/>
    </row>
    <row r="3" spans="1:14" s="134" customFormat="1" ht="15.75" customHeight="1">
      <c r="A3" s="444" t="s">
        <v>2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143"/>
      <c r="N3" s="144"/>
    </row>
    <row r="4" spans="1:14" s="135" customFormat="1" ht="12" customHeight="1">
      <c r="A4" s="145" t="s">
        <v>3</v>
      </c>
      <c r="B4" s="146" t="s">
        <v>4</v>
      </c>
      <c r="C4" s="146"/>
      <c r="D4" s="147"/>
      <c r="E4" s="147"/>
      <c r="F4" s="147"/>
      <c r="G4" s="147"/>
      <c r="H4" s="148"/>
      <c r="I4" s="149" t="s">
        <v>5</v>
      </c>
      <c r="J4" s="162">
        <f>'Customs Invoice'!K4</f>
        <v>0</v>
      </c>
      <c r="K4" s="162">
        <f>'Customs Invoice'!L4</f>
        <v>0</v>
      </c>
      <c r="L4" s="151"/>
      <c r="M4" s="153"/>
    </row>
    <row r="5" spans="1:14" s="135" customFormat="1" ht="12" customHeight="1">
      <c r="A5" s="154"/>
      <c r="B5" s="155" t="s">
        <v>6</v>
      </c>
      <c r="C5" s="155"/>
      <c r="D5" s="155"/>
      <c r="E5" s="155"/>
      <c r="F5" s="155"/>
      <c r="G5" s="155"/>
      <c r="H5" s="156"/>
      <c r="I5" s="149" t="s">
        <v>7</v>
      </c>
      <c r="J5" s="150"/>
      <c r="K5" s="150"/>
      <c r="L5" s="151"/>
      <c r="M5" s="153"/>
    </row>
    <row r="6" spans="1:14" s="135" customFormat="1" ht="12" customHeight="1">
      <c r="A6" s="154"/>
      <c r="B6" s="155" t="s">
        <v>8</v>
      </c>
      <c r="C6" s="155"/>
      <c r="D6" s="155"/>
      <c r="E6" s="155"/>
      <c r="F6" s="155"/>
      <c r="G6" s="155"/>
      <c r="H6" s="156"/>
      <c r="I6" s="154" t="str">
        <f>'Customs Invoice'!I6</f>
        <v>BILL TO :</v>
      </c>
      <c r="J6" s="15">
        <f>'Customs Invoice'!K6</f>
        <v>0</v>
      </c>
      <c r="K6" s="147"/>
      <c r="L6" s="460" t="s">
        <v>118</v>
      </c>
      <c r="M6" s="153"/>
    </row>
    <row r="7" spans="1:14" s="135" customFormat="1" ht="12" customHeight="1">
      <c r="A7" s="154"/>
      <c r="B7" s="155" t="s">
        <v>9</v>
      </c>
      <c r="C7" s="155"/>
      <c r="D7" s="155"/>
      <c r="E7" s="155"/>
      <c r="F7" s="155"/>
      <c r="G7" s="155"/>
      <c r="H7" s="156"/>
      <c r="I7" s="154"/>
      <c r="J7" s="214">
        <f>'Customs Invoice'!K7</f>
        <v>0</v>
      </c>
      <c r="K7" s="218"/>
      <c r="L7" s="461"/>
      <c r="M7" s="153"/>
    </row>
    <row r="8" spans="1:14" s="135" customFormat="1" ht="12" customHeight="1">
      <c r="A8" s="158"/>
      <c r="B8" s="159" t="s">
        <v>10</v>
      </c>
      <c r="C8" s="159"/>
      <c r="D8" s="159"/>
      <c r="E8" s="159"/>
      <c r="F8" s="159"/>
      <c r="G8" s="159"/>
      <c r="H8" s="160"/>
      <c r="I8" s="154"/>
      <c r="J8" s="214">
        <f>'Customs Invoice'!K8</f>
        <v>0</v>
      </c>
      <c r="K8" s="218"/>
      <c r="L8" s="461"/>
      <c r="M8" s="153"/>
    </row>
    <row r="9" spans="1:14" s="135" customFormat="1" ht="12" customHeight="1">
      <c r="A9" s="145" t="s">
        <v>11</v>
      </c>
      <c r="B9" s="146">
        <f>'Customs Invoice'!B9</f>
        <v>0</v>
      </c>
      <c r="C9" s="146"/>
      <c r="D9" s="157"/>
      <c r="E9" s="157"/>
      <c r="F9" s="157"/>
      <c r="G9" s="157"/>
      <c r="H9" s="148"/>
      <c r="I9" s="154"/>
      <c r="J9" s="214">
        <f>'Customs Invoice'!K9</f>
        <v>0</v>
      </c>
      <c r="K9" s="218"/>
      <c r="L9" s="461"/>
      <c r="M9" s="153"/>
    </row>
    <row r="10" spans="1:14" s="135" customFormat="1" ht="12" customHeight="1">
      <c r="A10" s="154"/>
      <c r="B10" s="161">
        <f>'Customs Invoice'!B10</f>
        <v>0</v>
      </c>
      <c r="C10" s="155"/>
      <c r="D10" s="161"/>
      <c r="E10" s="161"/>
      <c r="F10" s="161"/>
      <c r="G10" s="161"/>
      <c r="H10" s="156"/>
      <c r="I10" s="154"/>
      <c r="J10" s="214">
        <f>'Customs Invoice'!K10</f>
        <v>0</v>
      </c>
      <c r="K10" s="218"/>
      <c r="L10" s="219"/>
      <c r="M10" s="153"/>
    </row>
    <row r="11" spans="1:14" s="135" customFormat="1" ht="12" customHeight="1">
      <c r="A11" s="154"/>
      <c r="B11" s="161">
        <f>'Customs Invoice'!B11</f>
        <v>0</v>
      </c>
      <c r="C11" s="155"/>
      <c r="D11" s="161"/>
      <c r="E11" s="161"/>
      <c r="F11" s="161"/>
      <c r="G11" s="161"/>
      <c r="H11" s="156"/>
      <c r="I11" s="154"/>
      <c r="J11" s="161">
        <f>'Customs Invoice'!K11</f>
        <v>0</v>
      </c>
      <c r="K11" s="159"/>
      <c r="L11" s="156"/>
      <c r="M11" s="153"/>
    </row>
    <row r="12" spans="1:14" s="135" customFormat="1" ht="12" customHeight="1">
      <c r="A12" s="154"/>
      <c r="B12" s="161">
        <f>'Customs Invoice'!B12</f>
        <v>0</v>
      </c>
      <c r="C12" s="155"/>
      <c r="D12" s="161"/>
      <c r="E12" s="161"/>
      <c r="F12" s="161"/>
      <c r="G12" s="161"/>
      <c r="H12" s="156"/>
      <c r="I12" s="149" t="s">
        <v>12</v>
      </c>
      <c r="J12" s="162"/>
      <c r="K12" s="150"/>
      <c r="L12" s="151"/>
      <c r="M12" s="153"/>
    </row>
    <row r="13" spans="1:14" s="135" customFormat="1" ht="12" customHeight="1">
      <c r="A13" s="154"/>
      <c r="B13" s="161">
        <f>'Customs Invoice'!B13</f>
        <v>0</v>
      </c>
      <c r="C13" s="155"/>
      <c r="D13" s="161"/>
      <c r="E13" s="161"/>
      <c r="F13" s="161"/>
      <c r="G13" s="161"/>
      <c r="H13" s="156"/>
      <c r="I13" s="145" t="s">
        <v>13</v>
      </c>
      <c r="J13" s="157" t="s">
        <v>14</v>
      </c>
      <c r="K13" s="147" t="s">
        <v>15</v>
      </c>
      <c r="L13" s="148"/>
      <c r="M13" s="153"/>
    </row>
    <row r="14" spans="1:14" s="135" customFormat="1" ht="12" customHeight="1">
      <c r="A14" s="158"/>
      <c r="B14" s="163">
        <f>'Customs Invoice'!B14</f>
        <v>0</v>
      </c>
      <c r="C14" s="163"/>
      <c r="D14" s="159"/>
      <c r="E14" s="159"/>
      <c r="F14" s="159"/>
      <c r="G14" s="159"/>
      <c r="H14" s="160"/>
      <c r="I14" s="154"/>
      <c r="J14" s="155" t="s">
        <v>16</v>
      </c>
      <c r="K14" s="155"/>
      <c r="L14" s="156"/>
      <c r="M14" s="153"/>
    </row>
    <row r="15" spans="1:14" s="135" customFormat="1" ht="12" customHeight="1">
      <c r="A15" s="164" t="s">
        <v>17</v>
      </c>
      <c r="B15" s="165">
        <f>'Customs Invoice'!B15</f>
        <v>0</v>
      </c>
      <c r="C15" s="166"/>
      <c r="D15" s="167" t="s">
        <v>18</v>
      </c>
      <c r="E15" s="167"/>
      <c r="F15" s="167"/>
      <c r="G15" s="167"/>
      <c r="H15" s="151"/>
      <c r="I15" s="154"/>
      <c r="J15" s="155" t="s">
        <v>19</v>
      </c>
      <c r="K15" s="220"/>
      <c r="L15" s="168"/>
      <c r="M15" s="153"/>
    </row>
    <row r="16" spans="1:14" s="135" customFormat="1" ht="12" customHeight="1">
      <c r="A16" s="149" t="s">
        <v>20</v>
      </c>
      <c r="B16" s="162">
        <f>'Customs Invoice'!B16</f>
        <v>0</v>
      </c>
      <c r="C16" s="169"/>
      <c r="D16" s="150" t="s">
        <v>21</v>
      </c>
      <c r="E16" s="150"/>
      <c r="F16" s="150"/>
      <c r="G16" s="150"/>
      <c r="H16" s="151"/>
      <c r="I16" s="158"/>
      <c r="J16" s="159" t="s">
        <v>22</v>
      </c>
      <c r="K16" s="221">
        <f>'Customs Invoice'!L16</f>
        <v>1</v>
      </c>
      <c r="L16" s="170"/>
      <c r="M16" s="153"/>
    </row>
    <row r="17" spans="1:14" s="135" customFormat="1" ht="12" customHeight="1">
      <c r="A17" s="171" t="str">
        <f>'Customs Invoice'!A17</f>
        <v>To  :</v>
      </c>
      <c r="B17" s="150"/>
      <c r="C17" s="150"/>
      <c r="D17" s="150"/>
      <c r="E17" s="150"/>
      <c r="F17" s="150"/>
      <c r="G17" s="150"/>
      <c r="H17" s="151"/>
      <c r="I17" s="149" t="s">
        <v>24</v>
      </c>
      <c r="J17" s="162" t="s">
        <v>25</v>
      </c>
      <c r="K17" s="150"/>
      <c r="L17" s="151"/>
      <c r="M17" s="153"/>
    </row>
    <row r="18" spans="1:14" s="135" customFormat="1" ht="15" customHeight="1">
      <c r="A18" s="172"/>
      <c r="B18" s="173" t="str">
        <f>CONCATENATE("PT Veronique to US_",LEFT('Customs Invoice'!K4,13)," Customs Invoice_New Merchandise")</f>
        <v>PT Veronique to US_ Customs Invoice_New Merchandise</v>
      </c>
      <c r="C18" s="173"/>
      <c r="D18" s="173"/>
      <c r="E18" s="173"/>
      <c r="F18" s="173"/>
      <c r="G18" s="173"/>
      <c r="H18" s="174"/>
      <c r="I18" s="175"/>
      <c r="J18" s="173"/>
      <c r="K18" s="175"/>
      <c r="L18" s="175"/>
      <c r="M18" s="152"/>
      <c r="N18" s="153"/>
    </row>
    <row r="19" spans="1:14" s="135" customFormat="1" ht="25.5" customHeight="1" thickBot="1">
      <c r="A19" s="175"/>
      <c r="B19" s="176" t="s">
        <v>26</v>
      </c>
      <c r="C19" s="375"/>
      <c r="D19" s="177"/>
      <c r="E19" s="173"/>
      <c r="F19" s="173"/>
      <c r="G19" s="173"/>
      <c r="H19" s="173"/>
      <c r="I19" s="117"/>
      <c r="J19" s="376"/>
      <c r="K19" s="179"/>
      <c r="L19" s="179"/>
      <c r="M19" s="152"/>
      <c r="N19" s="153"/>
    </row>
    <row r="20" spans="1:14" s="135" customFormat="1" ht="41" customHeight="1" thickBot="1">
      <c r="A20" s="180"/>
      <c r="B20" s="181" t="s">
        <v>27</v>
      </c>
      <c r="C20" s="377" t="s">
        <v>131</v>
      </c>
      <c r="D20" s="377" t="s">
        <v>132</v>
      </c>
      <c r="E20" s="378" t="s">
        <v>133</v>
      </c>
      <c r="F20" s="378" t="s">
        <v>31</v>
      </c>
      <c r="G20" s="445" t="s">
        <v>134</v>
      </c>
      <c r="H20" s="446"/>
      <c r="I20" s="378" t="s">
        <v>33</v>
      </c>
      <c r="J20" s="184" t="s">
        <v>34</v>
      </c>
      <c r="K20" s="186" t="s">
        <v>170</v>
      </c>
      <c r="L20" s="152"/>
      <c r="M20" s="153"/>
    </row>
    <row r="21" spans="1:14" s="135" customFormat="1" ht="18" customHeight="1">
      <c r="A21" s="175"/>
      <c r="B21" s="447">
        <f>'Customs Invoice'!B21</f>
        <v>1</v>
      </c>
      <c r="C21" s="449" t="e">
        <f>'Customs Invoice'!C21</f>
        <v>#N/A</v>
      </c>
      <c r="D21" s="379" t="e">
        <f>VLOOKUP(F21,Sheet2!$A$2:$D$31,4,0)</f>
        <v>#N/A</v>
      </c>
      <c r="E21" s="451" t="e">
        <f>'Customs Invoice'!E21</f>
        <v>#N/A</v>
      </c>
      <c r="F21" s="187">
        <f>'Customs Invoice'!F21</f>
        <v>0</v>
      </c>
      <c r="G21" s="452">
        <f>'Customs Invoice'!G21</f>
        <v>0</v>
      </c>
      <c r="H21" s="454" t="e">
        <f>'Customs Invoice'!H21</f>
        <v>#N/A</v>
      </c>
      <c r="I21" s="456">
        <f>'Customs Invoice'!I21</f>
        <v>0</v>
      </c>
      <c r="J21" s="456" t="e">
        <f>'Customs Invoice'!J21</f>
        <v>#DIV/0!</v>
      </c>
      <c r="K21" s="458">
        <f>'Customs Invoice'!O21</f>
        <v>0</v>
      </c>
      <c r="L21" s="152"/>
      <c r="M21" s="153"/>
    </row>
    <row r="22" spans="1:14" s="135" customFormat="1" ht="18" customHeight="1">
      <c r="A22" s="175"/>
      <c r="B22" s="448"/>
      <c r="C22" s="450"/>
      <c r="D22" s="380" t="e">
        <f>VLOOKUP(F22,Sheet2!$A$2:$D$31,4,0)</f>
        <v>#N/A</v>
      </c>
      <c r="E22" s="449"/>
      <c r="F22" s="188" t="str">
        <f>F21&amp;1</f>
        <v>01</v>
      </c>
      <c r="G22" s="453"/>
      <c r="H22" s="455"/>
      <c r="I22" s="457"/>
      <c r="J22" s="457"/>
      <c r="K22" s="459"/>
      <c r="L22" s="152"/>
      <c r="M22" s="153"/>
    </row>
    <row r="23" spans="1:14" s="135" customFormat="1" ht="18" customHeight="1">
      <c r="A23" s="175"/>
      <c r="B23" s="448">
        <f>'Customs Invoice'!B22</f>
        <v>2</v>
      </c>
      <c r="C23" s="449" t="e">
        <f>'Customs Invoice'!C22</f>
        <v>#N/A</v>
      </c>
      <c r="D23" s="380" t="e">
        <f>VLOOKUP(F23,Sheet2!$A$2:$D$31,4,0)</f>
        <v>#N/A</v>
      </c>
      <c r="E23" s="450" t="e">
        <f>'Customs Invoice'!E22</f>
        <v>#N/A</v>
      </c>
      <c r="F23" s="188">
        <f>'Customs Invoice'!F22</f>
        <v>0</v>
      </c>
      <c r="G23" s="462">
        <f>'Customs Invoice'!G22</f>
        <v>0</v>
      </c>
      <c r="H23" s="463" t="e">
        <f>'Customs Invoice'!H22</f>
        <v>#N/A</v>
      </c>
      <c r="I23" s="464">
        <f>'Customs Invoice'!I22</f>
        <v>0</v>
      </c>
      <c r="J23" s="464">
        <f>'Customs Invoice'!J22</f>
        <v>0</v>
      </c>
      <c r="K23" s="467">
        <f>'Customs Invoice'!O22</f>
        <v>0</v>
      </c>
      <c r="L23" s="152"/>
      <c r="M23" s="153"/>
    </row>
    <row r="24" spans="1:14" s="135" customFormat="1" ht="18" customHeight="1">
      <c r="A24" s="175"/>
      <c r="B24" s="448"/>
      <c r="C24" s="450"/>
      <c r="D24" s="380" t="e">
        <f>VLOOKUP(F24,Sheet2!$A$2:$D$31,4,0)</f>
        <v>#N/A</v>
      </c>
      <c r="E24" s="450"/>
      <c r="F24" s="188" t="str">
        <f>F23&amp;1</f>
        <v>01</v>
      </c>
      <c r="G24" s="462"/>
      <c r="H24" s="463"/>
      <c r="I24" s="464"/>
      <c r="J24" s="464"/>
      <c r="K24" s="459"/>
      <c r="L24" s="152"/>
      <c r="M24" s="153"/>
    </row>
    <row r="25" spans="1:14" s="135" customFormat="1" ht="18" customHeight="1">
      <c r="A25" s="175"/>
      <c r="B25" s="448">
        <f>'Customs Invoice'!B23</f>
        <v>3</v>
      </c>
      <c r="C25" s="449" t="e">
        <f>'Customs Invoice'!C23</f>
        <v>#N/A</v>
      </c>
      <c r="D25" s="380" t="e">
        <f>VLOOKUP(F25,Sheet2!$A$2:$D$31,4,0)</f>
        <v>#N/A</v>
      </c>
      <c r="E25" s="450" t="e">
        <f>'Customs Invoice'!E23</f>
        <v>#N/A</v>
      </c>
      <c r="F25" s="188">
        <f>'Customs Invoice'!F23</f>
        <v>0</v>
      </c>
      <c r="G25" s="462">
        <f>'Customs Invoice'!G23</f>
        <v>0</v>
      </c>
      <c r="H25" s="463" t="e">
        <f>'Customs Invoice'!H23</f>
        <v>#N/A</v>
      </c>
      <c r="I25" s="464">
        <f>'Customs Invoice'!I23</f>
        <v>0</v>
      </c>
      <c r="J25" s="464">
        <f>'Customs Invoice'!J23</f>
        <v>0</v>
      </c>
      <c r="K25" s="467">
        <f>'Customs Invoice'!O23</f>
        <v>0</v>
      </c>
      <c r="L25" s="152"/>
      <c r="M25" s="153"/>
    </row>
    <row r="26" spans="1:14" s="135" customFormat="1" ht="18" customHeight="1">
      <c r="A26" s="175"/>
      <c r="B26" s="448"/>
      <c r="C26" s="450"/>
      <c r="D26" s="380" t="e">
        <f>VLOOKUP(F26,Sheet2!$A$2:$D$31,4,0)</f>
        <v>#N/A</v>
      </c>
      <c r="E26" s="450"/>
      <c r="F26" s="188" t="str">
        <f>F25&amp;1</f>
        <v>01</v>
      </c>
      <c r="G26" s="462"/>
      <c r="H26" s="463"/>
      <c r="I26" s="464"/>
      <c r="J26" s="464"/>
      <c r="K26" s="459"/>
      <c r="L26" s="152"/>
      <c r="M26" s="153"/>
    </row>
    <row r="27" spans="1:14" s="135" customFormat="1" ht="18" customHeight="1">
      <c r="A27" s="175"/>
      <c r="B27" s="448">
        <f>'Customs Invoice'!B24</f>
        <v>4</v>
      </c>
      <c r="C27" s="449" t="e">
        <f>'Customs Invoice'!C24</f>
        <v>#N/A</v>
      </c>
      <c r="D27" s="380" t="e">
        <f>VLOOKUP(F27,Sheet2!$A$2:$D$31,4,0)</f>
        <v>#N/A</v>
      </c>
      <c r="E27" s="450" t="e">
        <f>'Customs Invoice'!E24</f>
        <v>#N/A</v>
      </c>
      <c r="F27" s="188">
        <f>'Customs Invoice'!F24</f>
        <v>0</v>
      </c>
      <c r="G27" s="462">
        <f>'Customs Invoice'!G24</f>
        <v>0</v>
      </c>
      <c r="H27" s="463" t="e">
        <f>'Customs Invoice'!H24</f>
        <v>#N/A</v>
      </c>
      <c r="I27" s="464">
        <f>'Customs Invoice'!I24</f>
        <v>0</v>
      </c>
      <c r="J27" s="464">
        <f>'Customs Invoice'!J24</f>
        <v>0</v>
      </c>
      <c r="K27" s="467">
        <f>'Customs Invoice'!O24</f>
        <v>0</v>
      </c>
      <c r="L27" s="152"/>
      <c r="M27" s="153"/>
    </row>
    <row r="28" spans="1:14" s="135" customFormat="1" ht="18" customHeight="1">
      <c r="A28" s="175"/>
      <c r="B28" s="448"/>
      <c r="C28" s="450"/>
      <c r="D28" s="380" t="e">
        <f>VLOOKUP(F28,Sheet2!$A$2:$D$31,4,0)</f>
        <v>#N/A</v>
      </c>
      <c r="E28" s="450"/>
      <c r="F28" s="188" t="str">
        <f>F27&amp;1</f>
        <v>01</v>
      </c>
      <c r="G28" s="462"/>
      <c r="H28" s="463"/>
      <c r="I28" s="464"/>
      <c r="J28" s="464"/>
      <c r="K28" s="459"/>
      <c r="L28" s="152"/>
      <c r="M28" s="153"/>
    </row>
    <row r="29" spans="1:14" s="135" customFormat="1" ht="18" customHeight="1">
      <c r="A29" s="175"/>
      <c r="B29" s="448">
        <f>'Customs Invoice'!B25</f>
        <v>5</v>
      </c>
      <c r="C29" s="449" t="e">
        <f>'Customs Invoice'!C25</f>
        <v>#N/A</v>
      </c>
      <c r="D29" s="380" t="e">
        <f>VLOOKUP(F29,Sheet2!$A$2:$D$31,4,0)</f>
        <v>#N/A</v>
      </c>
      <c r="E29" s="450" t="e">
        <f>'Customs Invoice'!E25</f>
        <v>#N/A</v>
      </c>
      <c r="F29" s="188">
        <f>'Customs Invoice'!F25</f>
        <v>0</v>
      </c>
      <c r="G29" s="462">
        <f>'Customs Invoice'!G25</f>
        <v>0</v>
      </c>
      <c r="H29" s="463" t="e">
        <f>'Customs Invoice'!H25</f>
        <v>#N/A</v>
      </c>
      <c r="I29" s="464">
        <f>'Customs Invoice'!I25</f>
        <v>0</v>
      </c>
      <c r="J29" s="464">
        <f>'Customs Invoice'!J25</f>
        <v>0</v>
      </c>
      <c r="K29" s="467">
        <f>'Customs Invoice'!O25</f>
        <v>0</v>
      </c>
      <c r="L29" s="152"/>
      <c r="M29" s="153"/>
    </row>
    <row r="30" spans="1:14" s="135" customFormat="1" ht="18" customHeight="1">
      <c r="A30" s="175"/>
      <c r="B30" s="448"/>
      <c r="C30" s="450"/>
      <c r="D30" s="380" t="e">
        <f>VLOOKUP(F30,Sheet2!$A$2:$D$31,4,0)</f>
        <v>#N/A</v>
      </c>
      <c r="E30" s="450"/>
      <c r="F30" s="188" t="str">
        <f>F29&amp;1</f>
        <v>01</v>
      </c>
      <c r="G30" s="462"/>
      <c r="H30" s="463"/>
      <c r="I30" s="464"/>
      <c r="J30" s="464"/>
      <c r="K30" s="459"/>
      <c r="L30" s="152"/>
      <c r="M30" s="153"/>
    </row>
    <row r="31" spans="1:14" s="135" customFormat="1" ht="18" customHeight="1">
      <c r="A31" s="175"/>
      <c r="B31" s="448">
        <f>'Customs Invoice'!B26</f>
        <v>6</v>
      </c>
      <c r="C31" s="449" t="e">
        <f>'Customs Invoice'!C26</f>
        <v>#N/A</v>
      </c>
      <c r="D31" s="380" t="e">
        <f>VLOOKUP(F31,Sheet2!$A$2:$D$31,4,0)</f>
        <v>#N/A</v>
      </c>
      <c r="E31" s="450" t="e">
        <f>'Customs Invoice'!E26</f>
        <v>#N/A</v>
      </c>
      <c r="F31" s="188">
        <f>'Customs Invoice'!F26</f>
        <v>0</v>
      </c>
      <c r="G31" s="462">
        <f>'Customs Invoice'!G26</f>
        <v>0</v>
      </c>
      <c r="H31" s="463" t="e">
        <f>'Customs Invoice'!H26</f>
        <v>#N/A</v>
      </c>
      <c r="I31" s="464">
        <f>'Customs Invoice'!I26</f>
        <v>0</v>
      </c>
      <c r="J31" s="464">
        <f>'Customs Invoice'!J26</f>
        <v>0</v>
      </c>
      <c r="K31" s="467">
        <f>'Customs Invoice'!O26</f>
        <v>0</v>
      </c>
      <c r="L31" s="152"/>
      <c r="M31" s="153"/>
    </row>
    <row r="32" spans="1:14" s="135" customFormat="1" ht="18" customHeight="1">
      <c r="A32" s="175"/>
      <c r="B32" s="448"/>
      <c r="C32" s="450"/>
      <c r="D32" s="380" t="e">
        <f>VLOOKUP(F32,Sheet2!$A$2:$D$31,4,0)</f>
        <v>#N/A</v>
      </c>
      <c r="E32" s="450"/>
      <c r="F32" s="188" t="str">
        <f>F31&amp;1</f>
        <v>01</v>
      </c>
      <c r="G32" s="462"/>
      <c r="H32" s="463"/>
      <c r="I32" s="464"/>
      <c r="J32" s="464"/>
      <c r="K32" s="459"/>
      <c r="L32" s="152"/>
      <c r="M32" s="153"/>
    </row>
    <row r="33" spans="1:14" s="135" customFormat="1" ht="18" customHeight="1">
      <c r="A33" s="175"/>
      <c r="B33" s="448">
        <f>'Customs Invoice'!B27</f>
        <v>7</v>
      </c>
      <c r="C33" s="449" t="e">
        <f>'Customs Invoice'!C27</f>
        <v>#N/A</v>
      </c>
      <c r="D33" s="380" t="e">
        <f>VLOOKUP(F33,Sheet2!$A$2:$D$31,4,0)</f>
        <v>#N/A</v>
      </c>
      <c r="E33" s="450" t="e">
        <f>'Customs Invoice'!E27</f>
        <v>#N/A</v>
      </c>
      <c r="F33" s="188">
        <f>'Customs Invoice'!F27</f>
        <v>0</v>
      </c>
      <c r="G33" s="462">
        <f>'Customs Invoice'!G27</f>
        <v>0</v>
      </c>
      <c r="H33" s="463" t="e">
        <f>'Customs Invoice'!H27</f>
        <v>#N/A</v>
      </c>
      <c r="I33" s="464">
        <f>'Customs Invoice'!I27</f>
        <v>0</v>
      </c>
      <c r="J33" s="464">
        <f>'Customs Invoice'!J27</f>
        <v>0</v>
      </c>
      <c r="K33" s="467">
        <f>'Customs Invoice'!O27</f>
        <v>0</v>
      </c>
      <c r="L33" s="152"/>
      <c r="M33" s="153"/>
    </row>
    <row r="34" spans="1:14" s="135" customFormat="1" ht="18" customHeight="1">
      <c r="A34" s="175"/>
      <c r="B34" s="448"/>
      <c r="C34" s="450"/>
      <c r="D34" s="380" t="e">
        <f>VLOOKUP(F34,Sheet2!$A$2:$D$31,4,0)</f>
        <v>#N/A</v>
      </c>
      <c r="E34" s="450"/>
      <c r="F34" s="188" t="str">
        <f>F33&amp;1</f>
        <v>01</v>
      </c>
      <c r="G34" s="462"/>
      <c r="H34" s="463"/>
      <c r="I34" s="464"/>
      <c r="J34" s="464"/>
      <c r="K34" s="459"/>
      <c r="L34" s="152"/>
      <c r="M34" s="153"/>
    </row>
    <row r="35" spans="1:14" s="135" customFormat="1" ht="18" customHeight="1">
      <c r="A35" s="175"/>
      <c r="B35" s="448">
        <f>'Customs Invoice'!B28</f>
        <v>8</v>
      </c>
      <c r="C35" s="449" t="e">
        <f>'Customs Invoice'!C28</f>
        <v>#N/A</v>
      </c>
      <c r="D35" s="380" t="e">
        <f>VLOOKUP(F35,Sheet2!$A$2:$D$31,4,0)</f>
        <v>#N/A</v>
      </c>
      <c r="E35" s="450" t="e">
        <f>'Customs Invoice'!E28</f>
        <v>#N/A</v>
      </c>
      <c r="F35" s="188">
        <f>'Customs Invoice'!F28</f>
        <v>0</v>
      </c>
      <c r="G35" s="462">
        <f>'Customs Invoice'!G28</f>
        <v>0</v>
      </c>
      <c r="H35" s="463" t="e">
        <f>'Customs Invoice'!H28</f>
        <v>#N/A</v>
      </c>
      <c r="I35" s="464">
        <f>'Customs Invoice'!I28</f>
        <v>0</v>
      </c>
      <c r="J35" s="464">
        <f>'Customs Invoice'!J28</f>
        <v>0</v>
      </c>
      <c r="K35" s="467">
        <f>'Customs Invoice'!O28</f>
        <v>0</v>
      </c>
      <c r="L35" s="152"/>
      <c r="M35" s="153"/>
    </row>
    <row r="36" spans="1:14" s="135" customFormat="1" ht="18" customHeight="1">
      <c r="A36" s="175"/>
      <c r="B36" s="448"/>
      <c r="C36" s="450"/>
      <c r="D36" s="380" t="e">
        <f>VLOOKUP(F36,Sheet2!$A$2:$D$31,4,0)</f>
        <v>#N/A</v>
      </c>
      <c r="E36" s="450"/>
      <c r="F36" s="188" t="str">
        <f>F35&amp;1</f>
        <v>01</v>
      </c>
      <c r="G36" s="462"/>
      <c r="H36" s="463"/>
      <c r="I36" s="464"/>
      <c r="J36" s="464"/>
      <c r="K36" s="459"/>
      <c r="L36" s="152"/>
      <c r="M36" s="153"/>
    </row>
    <row r="37" spans="1:14" s="135" customFormat="1" ht="18" customHeight="1">
      <c r="A37" s="175"/>
      <c r="B37" s="448">
        <f>'Customs Invoice'!B29</f>
        <v>9</v>
      </c>
      <c r="C37" s="449" t="e">
        <f>'Customs Invoice'!C29</f>
        <v>#N/A</v>
      </c>
      <c r="D37" s="380" t="e">
        <f>VLOOKUP(F37,Sheet2!$A$2:$D$31,4,0)</f>
        <v>#N/A</v>
      </c>
      <c r="E37" s="450" t="e">
        <f>'Customs Invoice'!E29</f>
        <v>#N/A</v>
      </c>
      <c r="F37" s="188">
        <f>'Customs Invoice'!F29</f>
        <v>0</v>
      </c>
      <c r="G37" s="462">
        <f>'Customs Invoice'!G29</f>
        <v>0</v>
      </c>
      <c r="H37" s="463" t="e">
        <f>'Customs Invoice'!H29</f>
        <v>#N/A</v>
      </c>
      <c r="I37" s="464">
        <f>'Customs Invoice'!I29</f>
        <v>0</v>
      </c>
      <c r="J37" s="464">
        <f>'Customs Invoice'!J29</f>
        <v>0</v>
      </c>
      <c r="K37" s="467">
        <f>'Customs Invoice'!O29</f>
        <v>0</v>
      </c>
      <c r="L37" s="152"/>
      <c r="M37" s="153"/>
    </row>
    <row r="38" spans="1:14" s="135" customFormat="1" ht="18" customHeight="1">
      <c r="A38" s="175"/>
      <c r="B38" s="448"/>
      <c r="C38" s="450"/>
      <c r="D38" s="380" t="e">
        <f>VLOOKUP(F38,Sheet2!$A$2:$D$31,4,0)</f>
        <v>#N/A</v>
      </c>
      <c r="E38" s="450"/>
      <c r="F38" s="188" t="str">
        <f>F37&amp;1</f>
        <v>01</v>
      </c>
      <c r="G38" s="462"/>
      <c r="H38" s="463"/>
      <c r="I38" s="464"/>
      <c r="J38" s="464"/>
      <c r="K38" s="459"/>
      <c r="L38" s="152"/>
      <c r="M38" s="153"/>
    </row>
    <row r="39" spans="1:14" s="135" customFormat="1" ht="18" customHeight="1">
      <c r="A39" s="175"/>
      <c r="B39" s="448">
        <f>'Customs Invoice'!B30</f>
        <v>10</v>
      </c>
      <c r="C39" s="449" t="e">
        <f>'Customs Invoice'!C30</f>
        <v>#N/A</v>
      </c>
      <c r="D39" s="380" t="e">
        <f>VLOOKUP(F39,Sheet2!$A$2:$D$31,4,0)</f>
        <v>#N/A</v>
      </c>
      <c r="E39" s="450" t="e">
        <f>'Customs Invoice'!E30</f>
        <v>#N/A</v>
      </c>
      <c r="F39" s="188" t="str">
        <f>'Customs Invoice'!F30</f>
        <v>-</v>
      </c>
      <c r="G39" s="462">
        <f>'Customs Invoice'!G30</f>
        <v>0</v>
      </c>
      <c r="H39" s="463" t="e">
        <f>'Customs Invoice'!H30</f>
        <v>#N/A</v>
      </c>
      <c r="I39" s="464">
        <f>'Customs Invoice'!I30</f>
        <v>0</v>
      </c>
      <c r="J39" s="464">
        <f>'Customs Invoice'!J30</f>
        <v>0</v>
      </c>
      <c r="K39" s="467">
        <f>'Customs Invoice'!O30</f>
        <v>0</v>
      </c>
      <c r="L39" s="152"/>
      <c r="M39" s="153"/>
    </row>
    <row r="40" spans="1:14" s="135" customFormat="1" ht="18" customHeight="1" thickBot="1">
      <c r="A40" s="175"/>
      <c r="B40" s="470"/>
      <c r="C40" s="450"/>
      <c r="D40" s="381" t="e">
        <f>VLOOKUP(F40,Sheet2!$A$2:$D$31,4,0)</f>
        <v>#N/A</v>
      </c>
      <c r="E40" s="471"/>
      <c r="F40" s="190" t="str">
        <f>F39&amp;1</f>
        <v>-1</v>
      </c>
      <c r="G40" s="472"/>
      <c r="H40" s="473"/>
      <c r="I40" s="466"/>
      <c r="J40" s="466"/>
      <c r="K40" s="491"/>
      <c r="L40" s="152"/>
      <c r="M40" s="153"/>
    </row>
    <row r="41" spans="1:14" s="135" customFormat="1" ht="30" customHeight="1" thickBot="1">
      <c r="A41" s="175"/>
      <c r="B41" s="468" t="s">
        <v>38</v>
      </c>
      <c r="C41" s="469"/>
      <c r="D41" s="469"/>
      <c r="E41" s="469"/>
      <c r="F41" s="191"/>
      <c r="G41" s="476">
        <f>SUM(G21:G40)</f>
        <v>0</v>
      </c>
      <c r="H41" s="477"/>
      <c r="I41" s="192">
        <f>SUM(I21:I40)</f>
        <v>0</v>
      </c>
      <c r="J41" s="192" t="e">
        <f>SUM(J21:J40)</f>
        <v>#DIV/0!</v>
      </c>
      <c r="K41" s="193">
        <f>SUM(K21:K40)</f>
        <v>0</v>
      </c>
      <c r="M41" s="152"/>
      <c r="N41" s="153"/>
    </row>
    <row r="42" spans="1:14" s="135" customFormat="1" ht="29.5" hidden="1" customHeight="1">
      <c r="A42" s="172"/>
      <c r="B42" s="114"/>
      <c r="C42" s="119"/>
      <c r="D42" s="114"/>
      <c r="E42" s="114"/>
      <c r="F42" s="114"/>
      <c r="G42" s="114"/>
      <c r="H42" s="116"/>
      <c r="I42" s="115"/>
      <c r="J42" s="114"/>
      <c r="K42" s="115"/>
      <c r="L42" s="115"/>
      <c r="M42" s="152"/>
      <c r="N42" s="153"/>
    </row>
    <row r="43" spans="1:14" s="135" customFormat="1" ht="25.5" hidden="1" customHeight="1" thickBot="1">
      <c r="A43" s="175"/>
      <c r="B43" s="176" t="s">
        <v>39</v>
      </c>
      <c r="C43" s="375"/>
      <c r="D43" s="177"/>
      <c r="E43" s="173"/>
      <c r="F43" s="173"/>
      <c r="G43" s="173"/>
      <c r="H43" s="173"/>
      <c r="I43" s="117"/>
      <c r="J43" s="376"/>
      <c r="K43" s="179"/>
      <c r="L43" s="179"/>
      <c r="M43" s="152"/>
      <c r="N43" s="153"/>
    </row>
    <row r="44" spans="1:14" s="135" customFormat="1" ht="41" hidden="1" customHeight="1" thickBot="1">
      <c r="A44" s="180"/>
      <c r="B44" s="181" t="s">
        <v>27</v>
      </c>
      <c r="C44" s="377" t="s">
        <v>131</v>
      </c>
      <c r="D44" s="377" t="s">
        <v>132</v>
      </c>
      <c r="E44" s="378" t="s">
        <v>133</v>
      </c>
      <c r="F44" s="378" t="s">
        <v>31</v>
      </c>
      <c r="G44" s="445" t="s">
        <v>134</v>
      </c>
      <c r="H44" s="446"/>
      <c r="I44" s="378" t="s">
        <v>33</v>
      </c>
      <c r="J44" s="184" t="s">
        <v>34</v>
      </c>
      <c r="K44" s="185" t="s">
        <v>135</v>
      </c>
      <c r="L44" s="186" t="s">
        <v>136</v>
      </c>
      <c r="M44" s="152"/>
      <c r="N44" s="153"/>
    </row>
    <row r="45" spans="1:14" s="135" customFormat="1" ht="18" hidden="1" customHeight="1">
      <c r="A45" s="175"/>
      <c r="B45" s="447">
        <f>'Customs Invoice'!B45</f>
        <v>0</v>
      </c>
      <c r="C45" s="449" t="e">
        <f>'Customs Invoice'!C45</f>
        <v>#N/A</v>
      </c>
      <c r="D45" s="379" t="e">
        <f>VLOOKUP(F45,Sheet2!$A$2:$D$31,4,0)</f>
        <v>#N/A</v>
      </c>
      <c r="E45" s="451" t="e">
        <f>'Customs Invoice'!E45</f>
        <v>#N/A</v>
      </c>
      <c r="F45" s="187">
        <f>'Customs Invoice'!F45</f>
        <v>0</v>
      </c>
      <c r="G45" s="452">
        <f>'Customs Invoice'!G45</f>
        <v>0</v>
      </c>
      <c r="H45" s="454" t="e">
        <f>'Customs Invoice'!H45</f>
        <v>#N/A</v>
      </c>
      <c r="I45" s="456">
        <f>'Customs Invoice'!I45</f>
        <v>0</v>
      </c>
      <c r="J45" s="456">
        <f>'Customs Invoice'!J45</f>
        <v>0</v>
      </c>
      <c r="K45" s="474" t="e">
        <f t="shared" ref="K45" si="0">L45/G45</f>
        <v>#DIV/0!</v>
      </c>
      <c r="L45" s="458">
        <f>'Customs Invoice'!P45</f>
        <v>0</v>
      </c>
      <c r="M45" s="152"/>
      <c r="N45" s="153"/>
    </row>
    <row r="46" spans="1:14" s="135" customFormat="1" ht="18" hidden="1" customHeight="1">
      <c r="A46" s="175"/>
      <c r="B46" s="448"/>
      <c r="C46" s="450"/>
      <c r="D46" s="380" t="e">
        <f>VLOOKUP(F46,Sheet2!$A$2:$D$31,4,0)</f>
        <v>#N/A</v>
      </c>
      <c r="E46" s="449"/>
      <c r="F46" s="188" t="str">
        <f>F45&amp;1</f>
        <v>01</v>
      </c>
      <c r="G46" s="453"/>
      <c r="H46" s="455"/>
      <c r="I46" s="457"/>
      <c r="J46" s="457"/>
      <c r="K46" s="475"/>
      <c r="L46" s="459"/>
      <c r="M46" s="152"/>
      <c r="N46" s="153"/>
    </row>
    <row r="47" spans="1:14" s="135" customFormat="1" ht="18" hidden="1" customHeight="1">
      <c r="A47" s="175"/>
      <c r="B47" s="448">
        <f>'Customs Invoice'!B46</f>
        <v>0</v>
      </c>
      <c r="C47" s="449" t="e">
        <f>'Customs Invoice'!C46</f>
        <v>#N/A</v>
      </c>
      <c r="D47" s="380" t="e">
        <f>VLOOKUP(F47,Sheet2!$A$2:$D$31,4,0)</f>
        <v>#N/A</v>
      </c>
      <c r="E47" s="450" t="e">
        <f>'Customs Invoice'!E46</f>
        <v>#N/A</v>
      </c>
      <c r="F47" s="188">
        <f>'Customs Invoice'!F46</f>
        <v>0</v>
      </c>
      <c r="G47" s="462">
        <f>'Customs Invoice'!G46</f>
        <v>0</v>
      </c>
      <c r="H47" s="463" t="e">
        <f>'Customs Invoice'!H46</f>
        <v>#N/A</v>
      </c>
      <c r="I47" s="464">
        <f>'Customs Invoice'!I46</f>
        <v>0</v>
      </c>
      <c r="J47" s="464">
        <f>'Customs Invoice'!J46</f>
        <v>0</v>
      </c>
      <c r="K47" s="478" t="e">
        <f t="shared" ref="K47" si="1">L47/G47</f>
        <v>#DIV/0!</v>
      </c>
      <c r="L47" s="465">
        <f>'Customs Invoice'!P46</f>
        <v>0</v>
      </c>
      <c r="M47" s="152"/>
      <c r="N47" s="153"/>
    </row>
    <row r="48" spans="1:14" s="135" customFormat="1" ht="18" hidden="1" customHeight="1">
      <c r="A48" s="175"/>
      <c r="B48" s="448"/>
      <c r="C48" s="450"/>
      <c r="D48" s="380" t="e">
        <f>VLOOKUP(F48,Sheet2!$A$2:$D$31,4,0)</f>
        <v>#N/A</v>
      </c>
      <c r="E48" s="450"/>
      <c r="F48" s="188" t="str">
        <f>F47&amp;1</f>
        <v>01</v>
      </c>
      <c r="G48" s="462"/>
      <c r="H48" s="463"/>
      <c r="I48" s="464"/>
      <c r="J48" s="464"/>
      <c r="K48" s="478"/>
      <c r="L48" s="465"/>
      <c r="M48" s="152"/>
      <c r="N48" s="153"/>
    </row>
    <row r="49" spans="1:14" s="135" customFormat="1" ht="18" hidden="1" customHeight="1">
      <c r="A49" s="175"/>
      <c r="B49" s="448">
        <f>'Customs Invoice'!B47</f>
        <v>0</v>
      </c>
      <c r="C49" s="449" t="e">
        <f>'Customs Invoice'!C47</f>
        <v>#N/A</v>
      </c>
      <c r="D49" s="380" t="e">
        <f>VLOOKUP(F49,Sheet2!$A$2:$D$31,4,0)</f>
        <v>#N/A</v>
      </c>
      <c r="E49" s="450" t="e">
        <f>'Customs Invoice'!E47</f>
        <v>#N/A</v>
      </c>
      <c r="F49" s="188">
        <f>'Customs Invoice'!F47</f>
        <v>0</v>
      </c>
      <c r="G49" s="462">
        <f>'Customs Invoice'!G47</f>
        <v>0</v>
      </c>
      <c r="H49" s="463" t="e">
        <f>'Customs Invoice'!H47</f>
        <v>#N/A</v>
      </c>
      <c r="I49" s="464">
        <f>'Customs Invoice'!I47</f>
        <v>0</v>
      </c>
      <c r="J49" s="464">
        <f>'Customs Invoice'!J47</f>
        <v>0</v>
      </c>
      <c r="K49" s="478" t="e">
        <f t="shared" ref="K49" si="2">L49/G49</f>
        <v>#DIV/0!</v>
      </c>
      <c r="L49" s="465">
        <f>'Customs Invoice'!P47</f>
        <v>0</v>
      </c>
      <c r="M49" s="152"/>
      <c r="N49" s="153"/>
    </row>
    <row r="50" spans="1:14" s="135" customFormat="1" ht="18" hidden="1" customHeight="1">
      <c r="A50" s="175"/>
      <c r="B50" s="448"/>
      <c r="C50" s="450"/>
      <c r="D50" s="380" t="e">
        <f>VLOOKUP(F50,Sheet2!$A$2:$D$31,4,0)</f>
        <v>#N/A</v>
      </c>
      <c r="E50" s="450"/>
      <c r="F50" s="188" t="str">
        <f>F49&amp;1</f>
        <v>01</v>
      </c>
      <c r="G50" s="462"/>
      <c r="H50" s="463"/>
      <c r="I50" s="464"/>
      <c r="J50" s="464"/>
      <c r="K50" s="478"/>
      <c r="L50" s="465"/>
      <c r="M50" s="152"/>
      <c r="N50" s="153"/>
    </row>
    <row r="51" spans="1:14" s="135" customFormat="1" ht="18" hidden="1" customHeight="1">
      <c r="A51" s="175"/>
      <c r="B51" s="448">
        <f>'Customs Invoice'!B48</f>
        <v>0</v>
      </c>
      <c r="C51" s="449" t="e">
        <f>'Customs Invoice'!C48</f>
        <v>#N/A</v>
      </c>
      <c r="D51" s="380" t="e">
        <f>VLOOKUP(F51,Sheet2!$A$2:$D$31,4,0)</f>
        <v>#N/A</v>
      </c>
      <c r="E51" s="450" t="e">
        <f>'Customs Invoice'!E48</f>
        <v>#N/A</v>
      </c>
      <c r="F51" s="188">
        <f>'Customs Invoice'!F48</f>
        <v>0</v>
      </c>
      <c r="G51" s="462">
        <f>'Customs Invoice'!G48</f>
        <v>0</v>
      </c>
      <c r="H51" s="463" t="e">
        <f>'Customs Invoice'!H48</f>
        <v>#N/A</v>
      </c>
      <c r="I51" s="464">
        <f>'Customs Invoice'!I48</f>
        <v>0</v>
      </c>
      <c r="J51" s="464">
        <f>'Customs Invoice'!J48</f>
        <v>0</v>
      </c>
      <c r="K51" s="478" t="e">
        <f t="shared" ref="K51" si="3">L51/G51</f>
        <v>#DIV/0!</v>
      </c>
      <c r="L51" s="465">
        <f>'Customs Invoice'!P48</f>
        <v>0</v>
      </c>
      <c r="M51" s="152"/>
      <c r="N51" s="153"/>
    </row>
    <row r="52" spans="1:14" s="135" customFormat="1" ht="18" hidden="1" customHeight="1">
      <c r="A52" s="175"/>
      <c r="B52" s="448"/>
      <c r="C52" s="450"/>
      <c r="D52" s="380" t="e">
        <f>VLOOKUP(F52,Sheet2!$A$2:$D$31,4,0)</f>
        <v>#N/A</v>
      </c>
      <c r="E52" s="450"/>
      <c r="F52" s="188" t="str">
        <f>F51&amp;1</f>
        <v>01</v>
      </c>
      <c r="G52" s="462"/>
      <c r="H52" s="463"/>
      <c r="I52" s="464"/>
      <c r="J52" s="464"/>
      <c r="K52" s="478"/>
      <c r="L52" s="465"/>
      <c r="M52" s="152"/>
      <c r="N52" s="153"/>
    </row>
    <row r="53" spans="1:14" s="135" customFormat="1" ht="18" hidden="1" customHeight="1">
      <c r="A53" s="175"/>
      <c r="B53" s="448">
        <f>'Customs Invoice'!B49</f>
        <v>0</v>
      </c>
      <c r="C53" s="449" t="e">
        <f>'Customs Invoice'!C49</f>
        <v>#N/A</v>
      </c>
      <c r="D53" s="380" t="e">
        <f>VLOOKUP(F53,Sheet2!$A$2:$D$31,4,0)</f>
        <v>#N/A</v>
      </c>
      <c r="E53" s="450" t="e">
        <f>'Customs Invoice'!E49</f>
        <v>#N/A</v>
      </c>
      <c r="F53" s="188">
        <f>'Customs Invoice'!F49</f>
        <v>0</v>
      </c>
      <c r="G53" s="462">
        <f>'Customs Invoice'!G49</f>
        <v>0</v>
      </c>
      <c r="H53" s="463" t="e">
        <f>'Customs Invoice'!H49</f>
        <v>#N/A</v>
      </c>
      <c r="I53" s="464">
        <f>'Customs Invoice'!I49</f>
        <v>0</v>
      </c>
      <c r="J53" s="464">
        <f>'Customs Invoice'!J49</f>
        <v>0</v>
      </c>
      <c r="K53" s="478" t="e">
        <f t="shared" ref="K53" si="4">L53/G53</f>
        <v>#DIV/0!</v>
      </c>
      <c r="L53" s="465">
        <f>'Customs Invoice'!P49</f>
        <v>0</v>
      </c>
      <c r="M53" s="152"/>
      <c r="N53" s="153"/>
    </row>
    <row r="54" spans="1:14" s="135" customFormat="1" ht="18" hidden="1" customHeight="1">
      <c r="A54" s="175"/>
      <c r="B54" s="448"/>
      <c r="C54" s="450"/>
      <c r="D54" s="380" t="e">
        <f>VLOOKUP(F54,Sheet2!$A$2:$D$31,4,0)</f>
        <v>#N/A</v>
      </c>
      <c r="E54" s="450"/>
      <c r="F54" s="188" t="str">
        <f>F53&amp;1</f>
        <v>01</v>
      </c>
      <c r="G54" s="462"/>
      <c r="H54" s="463"/>
      <c r="I54" s="464"/>
      <c r="J54" s="464"/>
      <c r="K54" s="478"/>
      <c r="L54" s="465"/>
      <c r="M54" s="152"/>
      <c r="N54" s="153"/>
    </row>
    <row r="55" spans="1:14" s="135" customFormat="1" ht="18" hidden="1" customHeight="1">
      <c r="A55" s="175"/>
      <c r="B55" s="448">
        <f>'Customs Invoice'!B50</f>
        <v>0</v>
      </c>
      <c r="C55" s="449" t="e">
        <f>'Customs Invoice'!C50</f>
        <v>#N/A</v>
      </c>
      <c r="D55" s="380" t="e">
        <f>VLOOKUP(F55,Sheet2!$A$2:$D$31,4,0)</f>
        <v>#N/A</v>
      </c>
      <c r="E55" s="450" t="e">
        <f>'Customs Invoice'!E50</f>
        <v>#N/A</v>
      </c>
      <c r="F55" s="188">
        <f>'Customs Invoice'!F50</f>
        <v>0</v>
      </c>
      <c r="G55" s="462">
        <f>'Customs Invoice'!G50</f>
        <v>0</v>
      </c>
      <c r="H55" s="463" t="e">
        <f>'Customs Invoice'!H50</f>
        <v>#N/A</v>
      </c>
      <c r="I55" s="464">
        <f>'Customs Invoice'!I50</f>
        <v>0</v>
      </c>
      <c r="J55" s="464">
        <f>'Customs Invoice'!J50</f>
        <v>0</v>
      </c>
      <c r="K55" s="478" t="e">
        <f t="shared" ref="K55" si="5">L55/G55</f>
        <v>#DIV/0!</v>
      </c>
      <c r="L55" s="465">
        <f>'Customs Invoice'!P50</f>
        <v>0</v>
      </c>
      <c r="M55" s="152"/>
      <c r="N55" s="153"/>
    </row>
    <row r="56" spans="1:14" s="135" customFormat="1" ht="18" hidden="1" customHeight="1">
      <c r="A56" s="175"/>
      <c r="B56" s="448"/>
      <c r="C56" s="450"/>
      <c r="D56" s="380" t="e">
        <f>VLOOKUP(F56,Sheet2!$A$2:$D$31,4,0)</f>
        <v>#N/A</v>
      </c>
      <c r="E56" s="450"/>
      <c r="F56" s="188" t="str">
        <f>F55&amp;1</f>
        <v>01</v>
      </c>
      <c r="G56" s="462"/>
      <c r="H56" s="463"/>
      <c r="I56" s="464"/>
      <c r="J56" s="464"/>
      <c r="K56" s="478"/>
      <c r="L56" s="465"/>
      <c r="M56" s="152"/>
      <c r="N56" s="153"/>
    </row>
    <row r="57" spans="1:14" s="135" customFormat="1" ht="18" hidden="1" customHeight="1">
      <c r="A57" s="175"/>
      <c r="B57" s="448">
        <f>'Customs Invoice'!B51</f>
        <v>0</v>
      </c>
      <c r="C57" s="449" t="e">
        <f>'Customs Invoice'!C51</f>
        <v>#N/A</v>
      </c>
      <c r="D57" s="380" t="e">
        <f>VLOOKUP(F57,Sheet2!$A$2:$D$31,4,0)</f>
        <v>#N/A</v>
      </c>
      <c r="E57" s="450" t="e">
        <f>'Customs Invoice'!E51</f>
        <v>#N/A</v>
      </c>
      <c r="F57" s="188">
        <f>'Customs Invoice'!F51</f>
        <v>0</v>
      </c>
      <c r="G57" s="462">
        <f>'Customs Invoice'!G51</f>
        <v>0</v>
      </c>
      <c r="H57" s="463" t="e">
        <f>'Customs Invoice'!H51</f>
        <v>#N/A</v>
      </c>
      <c r="I57" s="464">
        <f>'Customs Invoice'!I51</f>
        <v>0</v>
      </c>
      <c r="J57" s="464">
        <f>'Customs Invoice'!J51</f>
        <v>0</v>
      </c>
      <c r="K57" s="478" t="e">
        <f t="shared" ref="K57" si="6">L57/G57</f>
        <v>#DIV/0!</v>
      </c>
      <c r="L57" s="465">
        <f>'Customs Invoice'!P51</f>
        <v>0</v>
      </c>
      <c r="M57" s="152"/>
      <c r="N57" s="153"/>
    </row>
    <row r="58" spans="1:14" s="135" customFormat="1" ht="18" hidden="1" customHeight="1">
      <c r="A58" s="175"/>
      <c r="B58" s="448"/>
      <c r="C58" s="450"/>
      <c r="D58" s="380" t="e">
        <f>VLOOKUP(F58,Sheet2!$A$2:$D$31,4,0)</f>
        <v>#N/A</v>
      </c>
      <c r="E58" s="450"/>
      <c r="F58" s="188" t="str">
        <f>F57&amp;1</f>
        <v>01</v>
      </c>
      <c r="G58" s="462"/>
      <c r="H58" s="463"/>
      <c r="I58" s="464"/>
      <c r="J58" s="464"/>
      <c r="K58" s="478"/>
      <c r="L58" s="465"/>
      <c r="M58" s="152"/>
      <c r="N58" s="153"/>
    </row>
    <row r="59" spans="1:14" s="135" customFormat="1" ht="18" hidden="1" customHeight="1">
      <c r="A59" s="175"/>
      <c r="B59" s="448">
        <f>'Customs Invoice'!B52</f>
        <v>0</v>
      </c>
      <c r="C59" s="449" t="e">
        <f>'Customs Invoice'!C52</f>
        <v>#N/A</v>
      </c>
      <c r="D59" s="380" t="e">
        <f>VLOOKUP(F59,Sheet2!$A$2:$D$31,4,0)</f>
        <v>#N/A</v>
      </c>
      <c r="E59" s="450" t="e">
        <f>'Customs Invoice'!E52</f>
        <v>#N/A</v>
      </c>
      <c r="F59" s="188">
        <f>'Customs Invoice'!F52</f>
        <v>0</v>
      </c>
      <c r="G59" s="462">
        <f>'Customs Invoice'!G52</f>
        <v>0</v>
      </c>
      <c r="H59" s="463" t="e">
        <f>'Customs Invoice'!H52</f>
        <v>#N/A</v>
      </c>
      <c r="I59" s="464">
        <f>'Customs Invoice'!I52</f>
        <v>0</v>
      </c>
      <c r="J59" s="464">
        <f>'Customs Invoice'!J52</f>
        <v>0</v>
      </c>
      <c r="K59" s="478" t="e">
        <f t="shared" ref="K59" si="7">L59/G59</f>
        <v>#DIV/0!</v>
      </c>
      <c r="L59" s="465">
        <f>'Customs Invoice'!P52</f>
        <v>0</v>
      </c>
      <c r="M59" s="152"/>
      <c r="N59" s="153"/>
    </row>
    <row r="60" spans="1:14" s="135" customFormat="1" ht="18" hidden="1" customHeight="1">
      <c r="A60" s="175"/>
      <c r="B60" s="448"/>
      <c r="C60" s="450"/>
      <c r="D60" s="380" t="e">
        <f>VLOOKUP(F60,Sheet2!$A$2:$D$31,4,0)</f>
        <v>#N/A</v>
      </c>
      <c r="E60" s="450"/>
      <c r="F60" s="188" t="str">
        <f>F59&amp;1</f>
        <v>01</v>
      </c>
      <c r="G60" s="462"/>
      <c r="H60" s="463"/>
      <c r="I60" s="464"/>
      <c r="J60" s="464"/>
      <c r="K60" s="478"/>
      <c r="L60" s="465"/>
      <c r="M60" s="152"/>
      <c r="N60" s="153"/>
    </row>
    <row r="61" spans="1:14" s="135" customFormat="1" ht="18" hidden="1" customHeight="1">
      <c r="A61" s="175"/>
      <c r="B61" s="448">
        <f>'Customs Invoice'!B53</f>
        <v>0</v>
      </c>
      <c r="C61" s="449" t="e">
        <f>'Customs Invoice'!C53</f>
        <v>#N/A</v>
      </c>
      <c r="D61" s="380" t="e">
        <f>VLOOKUP(F61,Sheet2!$A$2:$D$31,4,0)</f>
        <v>#N/A</v>
      </c>
      <c r="E61" s="450" t="e">
        <f>'Customs Invoice'!E53</f>
        <v>#N/A</v>
      </c>
      <c r="F61" s="188">
        <f>'Customs Invoice'!F53</f>
        <v>0</v>
      </c>
      <c r="G61" s="462">
        <f>'Customs Invoice'!G53</f>
        <v>0</v>
      </c>
      <c r="H61" s="463" t="e">
        <f>'Customs Invoice'!H53</f>
        <v>#N/A</v>
      </c>
      <c r="I61" s="464">
        <f>'Customs Invoice'!I53</f>
        <v>0</v>
      </c>
      <c r="J61" s="464">
        <f>'Customs Invoice'!J53</f>
        <v>0</v>
      </c>
      <c r="K61" s="478" t="e">
        <f t="shared" ref="K61" si="8">L61/G61</f>
        <v>#DIV/0!</v>
      </c>
      <c r="L61" s="465">
        <f>'Customs Invoice'!P53</f>
        <v>0</v>
      </c>
      <c r="M61" s="152"/>
      <c r="N61" s="153"/>
    </row>
    <row r="62" spans="1:14" s="135" customFormat="1" ht="18" hidden="1" customHeight="1">
      <c r="A62" s="175"/>
      <c r="B62" s="448"/>
      <c r="C62" s="450"/>
      <c r="D62" s="380" t="e">
        <f>VLOOKUP(F62,Sheet2!$A$2:$D$31,4,0)</f>
        <v>#N/A</v>
      </c>
      <c r="E62" s="450"/>
      <c r="F62" s="188" t="str">
        <f>F61&amp;1</f>
        <v>01</v>
      </c>
      <c r="G62" s="462"/>
      <c r="H62" s="463"/>
      <c r="I62" s="464"/>
      <c r="J62" s="464"/>
      <c r="K62" s="478"/>
      <c r="L62" s="465"/>
      <c r="M62" s="152"/>
      <c r="N62" s="153"/>
    </row>
    <row r="63" spans="1:14" s="135" customFormat="1" ht="18" hidden="1" customHeight="1">
      <c r="A63" s="175"/>
      <c r="B63" s="448">
        <f>'Customs Invoice'!B54</f>
        <v>0</v>
      </c>
      <c r="C63" s="449" t="e">
        <f>'Customs Invoice'!C54</f>
        <v>#N/A</v>
      </c>
      <c r="D63" s="380" t="e">
        <f>VLOOKUP(F63,Sheet2!$A$2:$D$31,4,0)</f>
        <v>#N/A</v>
      </c>
      <c r="E63" s="450" t="e">
        <f>'Customs Invoice'!E54</f>
        <v>#N/A</v>
      </c>
      <c r="F63" s="188">
        <f>'Customs Invoice'!F54</f>
        <v>0</v>
      </c>
      <c r="G63" s="462">
        <f>'Customs Invoice'!G54</f>
        <v>0</v>
      </c>
      <c r="H63" s="463" t="e">
        <f>'Customs Invoice'!H54</f>
        <v>#N/A</v>
      </c>
      <c r="I63" s="464">
        <f>'Customs Invoice'!I54</f>
        <v>0</v>
      </c>
      <c r="J63" s="464">
        <f>'Customs Invoice'!J54</f>
        <v>0</v>
      </c>
      <c r="K63" s="478" t="e">
        <f t="shared" ref="K63" si="9">L63/G63</f>
        <v>#DIV/0!</v>
      </c>
      <c r="L63" s="465">
        <f>'Customs Invoice'!P54</f>
        <v>0</v>
      </c>
      <c r="M63" s="152"/>
      <c r="N63" s="153"/>
    </row>
    <row r="64" spans="1:14" s="135" customFormat="1" ht="18" hidden="1" customHeight="1" thickBot="1">
      <c r="A64" s="175"/>
      <c r="B64" s="470"/>
      <c r="C64" s="450"/>
      <c r="D64" s="381" t="e">
        <f>VLOOKUP(F64,Sheet2!$A$2:$D$31,4,0)</f>
        <v>#N/A</v>
      </c>
      <c r="E64" s="471"/>
      <c r="F64" s="190" t="str">
        <f>F63&amp;1</f>
        <v>01</v>
      </c>
      <c r="G64" s="472"/>
      <c r="H64" s="473"/>
      <c r="I64" s="466"/>
      <c r="J64" s="466"/>
      <c r="K64" s="479"/>
      <c r="L64" s="467"/>
      <c r="M64" s="152"/>
      <c r="N64" s="153"/>
    </row>
    <row r="65" spans="1:14" s="135" customFormat="1" ht="30" hidden="1" customHeight="1" thickBot="1">
      <c r="A65" s="175"/>
      <c r="B65" s="468" t="s">
        <v>38</v>
      </c>
      <c r="C65" s="469"/>
      <c r="D65" s="469"/>
      <c r="E65" s="469"/>
      <c r="F65" s="191"/>
      <c r="G65" s="480">
        <f>SUM(G45:G64)</f>
        <v>0</v>
      </c>
      <c r="H65" s="481"/>
      <c r="I65" s="192">
        <f>SUM(I45:I64)</f>
        <v>0</v>
      </c>
      <c r="J65" s="192">
        <f>SUM(J45:J64)</f>
        <v>0</v>
      </c>
      <c r="K65" s="203"/>
      <c r="L65" s="193">
        <f>SUM(L45:L64)</f>
        <v>0</v>
      </c>
      <c r="M65" s="152"/>
      <c r="N65" s="153"/>
    </row>
    <row r="66" spans="1:14" s="135" customFormat="1" ht="29.5" hidden="1" customHeight="1">
      <c r="A66" s="172"/>
      <c r="B66" s="173"/>
      <c r="C66" s="375"/>
      <c r="D66" s="173"/>
      <c r="E66" s="173"/>
      <c r="F66" s="173"/>
      <c r="G66" s="173"/>
      <c r="H66" s="174"/>
      <c r="I66" s="175"/>
      <c r="J66" s="173"/>
      <c r="K66" s="161"/>
      <c r="L66" s="175"/>
      <c r="M66" s="152"/>
      <c r="N66" s="153"/>
    </row>
    <row r="67" spans="1:14" s="135" customFormat="1" ht="25.5" hidden="1" customHeight="1" thickBot="1">
      <c r="A67" s="175"/>
      <c r="B67" s="176" t="s">
        <v>138</v>
      </c>
      <c r="C67" s="375"/>
      <c r="D67" s="177"/>
      <c r="E67" s="173"/>
      <c r="F67" s="173"/>
      <c r="G67" s="173"/>
      <c r="H67" s="173"/>
      <c r="I67" s="117"/>
      <c r="J67" s="376"/>
      <c r="K67" s="179"/>
      <c r="L67" s="179"/>
      <c r="M67" s="152"/>
      <c r="N67" s="153"/>
    </row>
    <row r="68" spans="1:14" s="135" customFormat="1" ht="41" hidden="1" customHeight="1" thickBot="1">
      <c r="A68" s="180"/>
      <c r="B68" s="181" t="s">
        <v>27</v>
      </c>
      <c r="C68" s="377" t="s">
        <v>131</v>
      </c>
      <c r="D68" s="377" t="s">
        <v>132</v>
      </c>
      <c r="E68" s="378" t="s">
        <v>133</v>
      </c>
      <c r="F68" s="378" t="s">
        <v>31</v>
      </c>
      <c r="G68" s="445" t="s">
        <v>134</v>
      </c>
      <c r="H68" s="446"/>
      <c r="I68" s="378" t="s">
        <v>33</v>
      </c>
      <c r="J68" s="184" t="s">
        <v>34</v>
      </c>
      <c r="K68" s="185" t="s">
        <v>135</v>
      </c>
      <c r="L68" s="186" t="s">
        <v>136</v>
      </c>
      <c r="M68" s="152"/>
      <c r="N68" s="153"/>
    </row>
    <row r="69" spans="1:14" s="135" customFormat="1" ht="18" hidden="1" customHeight="1">
      <c r="A69" s="175"/>
      <c r="B69" s="447">
        <f>'Customs Invoice'!B69</f>
        <v>0</v>
      </c>
      <c r="C69" s="449" t="e">
        <f>'Customs Invoice'!C69</f>
        <v>#N/A</v>
      </c>
      <c r="D69" s="379" t="e">
        <f>VLOOKUP(F69,Sheet2!$A$2:$D$31,4,0)</f>
        <v>#N/A</v>
      </c>
      <c r="E69" s="451" t="e">
        <f>'Customs Invoice'!E69</f>
        <v>#N/A</v>
      </c>
      <c r="F69" s="187">
        <f>'Customs Invoice'!F69</f>
        <v>0</v>
      </c>
      <c r="G69" s="452">
        <f>'Customs Invoice'!G69</f>
        <v>0</v>
      </c>
      <c r="H69" s="454" t="e">
        <f>'Customs Invoice'!H69</f>
        <v>#N/A</v>
      </c>
      <c r="I69" s="456">
        <f>'Customs Invoice'!I69</f>
        <v>0</v>
      </c>
      <c r="J69" s="456">
        <f>'Customs Invoice'!J69</f>
        <v>0</v>
      </c>
      <c r="K69" s="474" t="e">
        <f t="shared" ref="K69" si="10">L69/G69</f>
        <v>#DIV/0!</v>
      </c>
      <c r="L69" s="458">
        <f>'Customs Invoice'!P69</f>
        <v>0</v>
      </c>
      <c r="M69" s="152"/>
      <c r="N69" s="153"/>
    </row>
    <row r="70" spans="1:14" s="135" customFormat="1" ht="18" hidden="1" customHeight="1">
      <c r="A70" s="175"/>
      <c r="B70" s="448"/>
      <c r="C70" s="450"/>
      <c r="D70" s="380" t="e">
        <f>VLOOKUP(F70,Sheet2!$A$2:$D$31,4,0)</f>
        <v>#N/A</v>
      </c>
      <c r="E70" s="449"/>
      <c r="F70" s="188" t="str">
        <f>F69&amp;1</f>
        <v>01</v>
      </c>
      <c r="G70" s="453"/>
      <c r="H70" s="455"/>
      <c r="I70" s="457"/>
      <c r="J70" s="457"/>
      <c r="K70" s="475"/>
      <c r="L70" s="459"/>
      <c r="M70" s="152"/>
      <c r="N70" s="153"/>
    </row>
    <row r="71" spans="1:14" s="135" customFormat="1" ht="18" hidden="1" customHeight="1">
      <c r="A71" s="175"/>
      <c r="B71" s="448">
        <f>'Customs Invoice'!B70</f>
        <v>0</v>
      </c>
      <c r="C71" s="449" t="e">
        <f>'Customs Invoice'!C70</f>
        <v>#N/A</v>
      </c>
      <c r="D71" s="380" t="e">
        <f>VLOOKUP(F71,Sheet2!$A$2:$D$31,4,0)</f>
        <v>#N/A</v>
      </c>
      <c r="E71" s="450" t="e">
        <f>'Customs Invoice'!E70</f>
        <v>#N/A</v>
      </c>
      <c r="F71" s="188">
        <f>'Customs Invoice'!F70</f>
        <v>0</v>
      </c>
      <c r="G71" s="462">
        <f>'Customs Invoice'!G70</f>
        <v>0</v>
      </c>
      <c r="H71" s="463" t="e">
        <f>'Customs Invoice'!H70</f>
        <v>#N/A</v>
      </c>
      <c r="I71" s="464">
        <f>'Customs Invoice'!I70</f>
        <v>0</v>
      </c>
      <c r="J71" s="464">
        <f>'Customs Invoice'!J70</f>
        <v>0</v>
      </c>
      <c r="K71" s="478" t="e">
        <f t="shared" ref="K71" si="11">L71/G71</f>
        <v>#DIV/0!</v>
      </c>
      <c r="L71" s="465">
        <f>'Customs Invoice'!P70</f>
        <v>0</v>
      </c>
      <c r="M71" s="152"/>
      <c r="N71" s="153"/>
    </row>
    <row r="72" spans="1:14" s="135" customFormat="1" ht="18" hidden="1" customHeight="1">
      <c r="A72" s="175"/>
      <c r="B72" s="448"/>
      <c r="C72" s="450"/>
      <c r="D72" s="380" t="e">
        <f>VLOOKUP(F72,Sheet2!$A$2:$D$31,4,0)</f>
        <v>#N/A</v>
      </c>
      <c r="E72" s="450"/>
      <c r="F72" s="188" t="str">
        <f>F71&amp;1</f>
        <v>01</v>
      </c>
      <c r="G72" s="462"/>
      <c r="H72" s="463"/>
      <c r="I72" s="464"/>
      <c r="J72" s="464"/>
      <c r="K72" s="478"/>
      <c r="L72" s="465"/>
      <c r="M72" s="152"/>
      <c r="N72" s="153"/>
    </row>
    <row r="73" spans="1:14" s="135" customFormat="1" ht="18" hidden="1" customHeight="1">
      <c r="A73" s="175"/>
      <c r="B73" s="448">
        <f>'Customs Invoice'!B71</f>
        <v>0</v>
      </c>
      <c r="C73" s="449" t="e">
        <f>'Customs Invoice'!C71</f>
        <v>#N/A</v>
      </c>
      <c r="D73" s="380" t="e">
        <f>VLOOKUP(F73,Sheet2!$A$2:$D$31,4,0)</f>
        <v>#N/A</v>
      </c>
      <c r="E73" s="450" t="e">
        <f>'Customs Invoice'!E71</f>
        <v>#N/A</v>
      </c>
      <c r="F73" s="188">
        <f>'Customs Invoice'!F71</f>
        <v>0</v>
      </c>
      <c r="G73" s="462">
        <f>'Customs Invoice'!G71</f>
        <v>0</v>
      </c>
      <c r="H73" s="463" t="e">
        <f>'Customs Invoice'!H71</f>
        <v>#N/A</v>
      </c>
      <c r="I73" s="464">
        <f>'Customs Invoice'!I71</f>
        <v>0</v>
      </c>
      <c r="J73" s="464">
        <f>'Customs Invoice'!J71</f>
        <v>0</v>
      </c>
      <c r="K73" s="478" t="e">
        <f t="shared" ref="K73" si="12">L73/G73</f>
        <v>#DIV/0!</v>
      </c>
      <c r="L73" s="465">
        <f>'Customs Invoice'!P71</f>
        <v>0</v>
      </c>
      <c r="M73" s="152"/>
      <c r="N73" s="153"/>
    </row>
    <row r="74" spans="1:14" s="135" customFormat="1" ht="18" hidden="1" customHeight="1">
      <c r="A74" s="175"/>
      <c r="B74" s="448"/>
      <c r="C74" s="450"/>
      <c r="D74" s="380" t="e">
        <f>VLOOKUP(F74,Sheet2!$A$2:$D$31,4,0)</f>
        <v>#N/A</v>
      </c>
      <c r="E74" s="450"/>
      <c r="F74" s="188" t="str">
        <f>F73&amp;1</f>
        <v>01</v>
      </c>
      <c r="G74" s="462"/>
      <c r="H74" s="463"/>
      <c r="I74" s="464"/>
      <c r="J74" s="464"/>
      <c r="K74" s="478"/>
      <c r="L74" s="465"/>
      <c r="M74" s="152"/>
      <c r="N74" s="153"/>
    </row>
    <row r="75" spans="1:14" s="135" customFormat="1" ht="18" hidden="1" customHeight="1">
      <c r="A75" s="175"/>
      <c r="B75" s="448">
        <f>'Customs Invoice'!B72</f>
        <v>0</v>
      </c>
      <c r="C75" s="449" t="e">
        <f>'Customs Invoice'!C72</f>
        <v>#N/A</v>
      </c>
      <c r="D75" s="380" t="e">
        <f>VLOOKUP(F75,Sheet2!$A$2:$D$31,4,0)</f>
        <v>#N/A</v>
      </c>
      <c r="E75" s="450" t="e">
        <f>'Customs Invoice'!E72</f>
        <v>#N/A</v>
      </c>
      <c r="F75" s="188">
        <f>'Customs Invoice'!F72</f>
        <v>0</v>
      </c>
      <c r="G75" s="462">
        <f>'Customs Invoice'!G72</f>
        <v>0</v>
      </c>
      <c r="H75" s="463" t="e">
        <f>'Customs Invoice'!H72</f>
        <v>#N/A</v>
      </c>
      <c r="I75" s="464">
        <f>'Customs Invoice'!I72</f>
        <v>0</v>
      </c>
      <c r="J75" s="464">
        <f>'Customs Invoice'!J72</f>
        <v>0</v>
      </c>
      <c r="K75" s="478" t="e">
        <f t="shared" ref="K75" si="13">L75/G75</f>
        <v>#DIV/0!</v>
      </c>
      <c r="L75" s="465">
        <f>'Customs Invoice'!P72</f>
        <v>0</v>
      </c>
      <c r="M75" s="152"/>
      <c r="N75" s="153"/>
    </row>
    <row r="76" spans="1:14" s="135" customFormat="1" ht="18" hidden="1" customHeight="1">
      <c r="A76" s="175"/>
      <c r="B76" s="448"/>
      <c r="C76" s="450"/>
      <c r="D76" s="380" t="e">
        <f>VLOOKUP(F76,Sheet2!$A$2:$D$31,4,0)</f>
        <v>#N/A</v>
      </c>
      <c r="E76" s="450"/>
      <c r="F76" s="188" t="str">
        <f>F75&amp;1</f>
        <v>01</v>
      </c>
      <c r="G76" s="462"/>
      <c r="H76" s="463"/>
      <c r="I76" s="464"/>
      <c r="J76" s="464"/>
      <c r="K76" s="478"/>
      <c r="L76" s="465"/>
      <c r="M76" s="152"/>
      <c r="N76" s="153"/>
    </row>
    <row r="77" spans="1:14" s="135" customFormat="1" ht="18" hidden="1" customHeight="1">
      <c r="A77" s="175"/>
      <c r="B77" s="448">
        <f>'Customs Invoice'!B73</f>
        <v>0</v>
      </c>
      <c r="C77" s="449" t="e">
        <f>'Customs Invoice'!C73</f>
        <v>#N/A</v>
      </c>
      <c r="D77" s="380" t="e">
        <f>VLOOKUP(F77,Sheet2!$A$2:$D$31,4,0)</f>
        <v>#N/A</v>
      </c>
      <c r="E77" s="450" t="e">
        <f>'Customs Invoice'!E73</f>
        <v>#N/A</v>
      </c>
      <c r="F77" s="188">
        <f>'Customs Invoice'!F73</f>
        <v>0</v>
      </c>
      <c r="G77" s="462">
        <f>'Customs Invoice'!G73</f>
        <v>0</v>
      </c>
      <c r="H77" s="463" t="e">
        <f>'Customs Invoice'!H73</f>
        <v>#N/A</v>
      </c>
      <c r="I77" s="464">
        <f>'Customs Invoice'!I73</f>
        <v>0</v>
      </c>
      <c r="J77" s="464">
        <f>'Customs Invoice'!J73</f>
        <v>0</v>
      </c>
      <c r="K77" s="478" t="e">
        <f t="shared" ref="K77" si="14">L77/G77</f>
        <v>#DIV/0!</v>
      </c>
      <c r="L77" s="465">
        <f>'Customs Invoice'!P73</f>
        <v>0</v>
      </c>
      <c r="M77" s="152"/>
      <c r="N77" s="153"/>
    </row>
    <row r="78" spans="1:14" s="135" customFormat="1" ht="18" hidden="1" customHeight="1">
      <c r="A78" s="175"/>
      <c r="B78" s="448"/>
      <c r="C78" s="450"/>
      <c r="D78" s="380" t="e">
        <f>VLOOKUP(F78,Sheet2!$A$2:$D$31,4,0)</f>
        <v>#N/A</v>
      </c>
      <c r="E78" s="450"/>
      <c r="F78" s="188" t="str">
        <f>F77&amp;1</f>
        <v>01</v>
      </c>
      <c r="G78" s="462"/>
      <c r="H78" s="463"/>
      <c r="I78" s="464"/>
      <c r="J78" s="464"/>
      <c r="K78" s="478"/>
      <c r="L78" s="465"/>
      <c r="M78" s="152"/>
      <c r="N78" s="153"/>
    </row>
    <row r="79" spans="1:14" s="135" customFormat="1" ht="18" hidden="1" customHeight="1">
      <c r="A79" s="175"/>
      <c r="B79" s="448">
        <f>'Customs Invoice'!B74</f>
        <v>0</v>
      </c>
      <c r="C79" s="449" t="e">
        <f>'Customs Invoice'!C74</f>
        <v>#N/A</v>
      </c>
      <c r="D79" s="380" t="e">
        <f>VLOOKUP(F79,Sheet2!$A$2:$D$31,4,0)</f>
        <v>#N/A</v>
      </c>
      <c r="E79" s="450" t="e">
        <f>'Customs Invoice'!E74</f>
        <v>#N/A</v>
      </c>
      <c r="F79" s="188">
        <f>'Customs Invoice'!F74</f>
        <v>0</v>
      </c>
      <c r="G79" s="462">
        <f>'Customs Invoice'!G74</f>
        <v>0</v>
      </c>
      <c r="H79" s="463" t="e">
        <f>'Customs Invoice'!H74</f>
        <v>#N/A</v>
      </c>
      <c r="I79" s="464">
        <f>'Customs Invoice'!I74</f>
        <v>0</v>
      </c>
      <c r="J79" s="464">
        <f>'Customs Invoice'!J74</f>
        <v>0</v>
      </c>
      <c r="K79" s="478" t="e">
        <f t="shared" ref="K79" si="15">L79/G79</f>
        <v>#DIV/0!</v>
      </c>
      <c r="L79" s="465">
        <f>'Customs Invoice'!P74</f>
        <v>0</v>
      </c>
      <c r="M79" s="152"/>
      <c r="N79" s="153"/>
    </row>
    <row r="80" spans="1:14" s="135" customFormat="1" ht="18" hidden="1" customHeight="1">
      <c r="A80" s="175"/>
      <c r="B80" s="448"/>
      <c r="C80" s="450"/>
      <c r="D80" s="380" t="e">
        <f>VLOOKUP(F80,Sheet2!$A$2:$D$31,4,0)</f>
        <v>#N/A</v>
      </c>
      <c r="E80" s="450"/>
      <c r="F80" s="188" t="str">
        <f>F79&amp;1</f>
        <v>01</v>
      </c>
      <c r="G80" s="462"/>
      <c r="H80" s="463"/>
      <c r="I80" s="464"/>
      <c r="J80" s="464"/>
      <c r="K80" s="478"/>
      <c r="L80" s="465"/>
      <c r="M80" s="152"/>
      <c r="N80" s="153"/>
    </row>
    <row r="81" spans="1:14" s="135" customFormat="1" ht="18" hidden="1" customHeight="1">
      <c r="A81" s="175"/>
      <c r="B81" s="448">
        <f>'Customs Invoice'!B75</f>
        <v>0</v>
      </c>
      <c r="C81" s="449" t="e">
        <f>'Customs Invoice'!C75</f>
        <v>#N/A</v>
      </c>
      <c r="D81" s="380" t="e">
        <f>VLOOKUP(F81,Sheet2!$A$2:$D$31,4,0)</f>
        <v>#N/A</v>
      </c>
      <c r="E81" s="450" t="e">
        <f>'Customs Invoice'!E75</f>
        <v>#N/A</v>
      </c>
      <c r="F81" s="188">
        <f>'Customs Invoice'!F75</f>
        <v>0</v>
      </c>
      <c r="G81" s="462">
        <f>'Customs Invoice'!G75</f>
        <v>0</v>
      </c>
      <c r="H81" s="463" t="e">
        <f>'Customs Invoice'!H75</f>
        <v>#N/A</v>
      </c>
      <c r="I81" s="464">
        <f>'Customs Invoice'!I75</f>
        <v>0</v>
      </c>
      <c r="J81" s="464">
        <f>'Customs Invoice'!J75</f>
        <v>0</v>
      </c>
      <c r="K81" s="478" t="e">
        <f t="shared" ref="K81" si="16">L81/G81</f>
        <v>#DIV/0!</v>
      </c>
      <c r="L81" s="465">
        <f>'Customs Invoice'!P75</f>
        <v>0</v>
      </c>
      <c r="M81" s="152"/>
      <c r="N81" s="153"/>
    </row>
    <row r="82" spans="1:14" s="135" customFormat="1" ht="18" hidden="1" customHeight="1">
      <c r="A82" s="175"/>
      <c r="B82" s="448"/>
      <c r="C82" s="450"/>
      <c r="D82" s="380" t="e">
        <f>VLOOKUP(F82,Sheet2!$A$2:$D$31,4,0)</f>
        <v>#N/A</v>
      </c>
      <c r="E82" s="450"/>
      <c r="F82" s="188" t="str">
        <f>F81&amp;1</f>
        <v>01</v>
      </c>
      <c r="G82" s="462"/>
      <c r="H82" s="463"/>
      <c r="I82" s="464"/>
      <c r="J82" s="464"/>
      <c r="K82" s="478"/>
      <c r="L82" s="465"/>
      <c r="M82" s="152"/>
      <c r="N82" s="153"/>
    </row>
    <row r="83" spans="1:14" s="135" customFormat="1" ht="18" hidden="1" customHeight="1">
      <c r="A83" s="175"/>
      <c r="B83" s="448">
        <f>'Customs Invoice'!B76</f>
        <v>0</v>
      </c>
      <c r="C83" s="449" t="e">
        <f>'Customs Invoice'!C76</f>
        <v>#N/A</v>
      </c>
      <c r="D83" s="380" t="e">
        <f>VLOOKUP(F83,Sheet2!$A$2:$D$31,4,0)</f>
        <v>#N/A</v>
      </c>
      <c r="E83" s="450" t="e">
        <f>'Customs Invoice'!E76</f>
        <v>#N/A</v>
      </c>
      <c r="F83" s="188">
        <f>'Customs Invoice'!F76</f>
        <v>0</v>
      </c>
      <c r="G83" s="462">
        <f>'Customs Invoice'!G76</f>
        <v>0</v>
      </c>
      <c r="H83" s="463" t="e">
        <f>'Customs Invoice'!H76</f>
        <v>#N/A</v>
      </c>
      <c r="I83" s="464">
        <f>'Customs Invoice'!I76</f>
        <v>0</v>
      </c>
      <c r="J83" s="464">
        <f>'Customs Invoice'!J76</f>
        <v>0</v>
      </c>
      <c r="K83" s="478" t="e">
        <f t="shared" ref="K83" si="17">L83/G83</f>
        <v>#DIV/0!</v>
      </c>
      <c r="L83" s="465">
        <f>'Customs Invoice'!P76</f>
        <v>0</v>
      </c>
      <c r="M83" s="152"/>
      <c r="N83" s="153"/>
    </row>
    <row r="84" spans="1:14" s="135" customFormat="1" ht="18" hidden="1" customHeight="1">
      <c r="A84" s="175"/>
      <c r="B84" s="448"/>
      <c r="C84" s="450"/>
      <c r="D84" s="380" t="e">
        <f>VLOOKUP(F84,Sheet2!$A$2:$D$31,4,0)</f>
        <v>#N/A</v>
      </c>
      <c r="E84" s="450"/>
      <c r="F84" s="188" t="str">
        <f>F83&amp;1</f>
        <v>01</v>
      </c>
      <c r="G84" s="462"/>
      <c r="H84" s="463"/>
      <c r="I84" s="464"/>
      <c r="J84" s="464"/>
      <c r="K84" s="478"/>
      <c r="L84" s="465"/>
      <c r="M84" s="152"/>
      <c r="N84" s="153"/>
    </row>
    <row r="85" spans="1:14" s="135" customFormat="1" ht="18" hidden="1" customHeight="1">
      <c r="A85" s="175"/>
      <c r="B85" s="448">
        <f>'Customs Invoice'!B77</f>
        <v>0</v>
      </c>
      <c r="C85" s="449" t="e">
        <f>'Customs Invoice'!C77</f>
        <v>#N/A</v>
      </c>
      <c r="D85" s="380" t="e">
        <f>VLOOKUP(F85,Sheet2!$A$2:$D$31,4,0)</f>
        <v>#N/A</v>
      </c>
      <c r="E85" s="450" t="e">
        <f>'Customs Invoice'!E77</f>
        <v>#N/A</v>
      </c>
      <c r="F85" s="188">
        <f>'Customs Invoice'!F77</f>
        <v>0</v>
      </c>
      <c r="G85" s="462">
        <f>'Customs Invoice'!G77</f>
        <v>0</v>
      </c>
      <c r="H85" s="463" t="e">
        <f>'Customs Invoice'!H77</f>
        <v>#N/A</v>
      </c>
      <c r="I85" s="464">
        <f>'Customs Invoice'!I77</f>
        <v>0</v>
      </c>
      <c r="J85" s="464">
        <f>'Customs Invoice'!J77</f>
        <v>0</v>
      </c>
      <c r="K85" s="478" t="e">
        <f t="shared" ref="K85" si="18">L85/G85</f>
        <v>#DIV/0!</v>
      </c>
      <c r="L85" s="465">
        <f>'Customs Invoice'!P77</f>
        <v>0</v>
      </c>
      <c r="M85" s="152"/>
      <c r="N85" s="153"/>
    </row>
    <row r="86" spans="1:14" s="135" customFormat="1" ht="18" hidden="1" customHeight="1">
      <c r="A86" s="175"/>
      <c r="B86" s="448"/>
      <c r="C86" s="450"/>
      <c r="D86" s="380" t="e">
        <f>VLOOKUP(F86,Sheet2!$A$2:$D$31,4,0)</f>
        <v>#N/A</v>
      </c>
      <c r="E86" s="450"/>
      <c r="F86" s="188" t="str">
        <f>F85&amp;1</f>
        <v>01</v>
      </c>
      <c r="G86" s="462"/>
      <c r="H86" s="463"/>
      <c r="I86" s="464"/>
      <c r="J86" s="464"/>
      <c r="K86" s="478"/>
      <c r="L86" s="465"/>
      <c r="M86" s="152"/>
      <c r="N86" s="153"/>
    </row>
    <row r="87" spans="1:14" s="135" customFormat="1" ht="18" hidden="1" customHeight="1">
      <c r="A87" s="175"/>
      <c r="B87" s="448">
        <f>'Customs Invoice'!B78</f>
        <v>0</v>
      </c>
      <c r="C87" s="449" t="e">
        <f>'Customs Invoice'!C78</f>
        <v>#N/A</v>
      </c>
      <c r="D87" s="380" t="e">
        <f>VLOOKUP(F87,Sheet2!$A$2:$D$31,4,0)</f>
        <v>#N/A</v>
      </c>
      <c r="E87" s="450" t="e">
        <f>'Customs Invoice'!E78</f>
        <v>#N/A</v>
      </c>
      <c r="F87" s="188">
        <f>'Customs Invoice'!F78</f>
        <v>0</v>
      </c>
      <c r="G87" s="462">
        <f>'Customs Invoice'!G78</f>
        <v>0</v>
      </c>
      <c r="H87" s="463" t="e">
        <f>'Customs Invoice'!H78</f>
        <v>#N/A</v>
      </c>
      <c r="I87" s="464">
        <f>'Customs Invoice'!I78</f>
        <v>0</v>
      </c>
      <c r="J87" s="464">
        <f>'Customs Invoice'!J78</f>
        <v>0</v>
      </c>
      <c r="K87" s="478" t="e">
        <f t="shared" ref="K87" si="19">L87/G87</f>
        <v>#DIV/0!</v>
      </c>
      <c r="L87" s="465">
        <f>'Customs Invoice'!P78</f>
        <v>0</v>
      </c>
      <c r="M87" s="152"/>
      <c r="N87" s="153"/>
    </row>
    <row r="88" spans="1:14" s="135" customFormat="1" ht="18" hidden="1" customHeight="1" thickBot="1">
      <c r="A88" s="175"/>
      <c r="B88" s="470"/>
      <c r="C88" s="450"/>
      <c r="D88" s="381" t="e">
        <f>VLOOKUP(F88,Sheet2!$A$2:$D$31,4,0)</f>
        <v>#N/A</v>
      </c>
      <c r="E88" s="471"/>
      <c r="F88" s="190" t="str">
        <f>F87&amp;1</f>
        <v>01</v>
      </c>
      <c r="G88" s="472"/>
      <c r="H88" s="473"/>
      <c r="I88" s="466"/>
      <c r="J88" s="466"/>
      <c r="K88" s="479"/>
      <c r="L88" s="467"/>
      <c r="M88" s="152"/>
      <c r="N88" s="153"/>
    </row>
    <row r="89" spans="1:14" s="135" customFormat="1" ht="30" hidden="1" customHeight="1" thickBot="1">
      <c r="A89" s="175"/>
      <c r="B89" s="468" t="s">
        <v>38</v>
      </c>
      <c r="C89" s="469"/>
      <c r="D89" s="469"/>
      <c r="E89" s="469"/>
      <c r="F89" s="191"/>
      <c r="G89" s="480">
        <f>SUM(G69:G88)</f>
        <v>0</v>
      </c>
      <c r="H89" s="481"/>
      <c r="I89" s="192">
        <f>SUM(I69:I88)</f>
        <v>0</v>
      </c>
      <c r="J89" s="192">
        <f>SUM(J69:J88)</f>
        <v>0</v>
      </c>
      <c r="K89" s="203"/>
      <c r="L89" s="193">
        <f>SUM(L69:L88)</f>
        <v>0</v>
      </c>
      <c r="M89" s="152"/>
      <c r="N89" s="153"/>
    </row>
    <row r="90" spans="1:14" s="135" customFormat="1" ht="29.5" hidden="1" customHeight="1">
      <c r="A90" s="172"/>
      <c r="B90" s="173"/>
      <c r="C90" s="375"/>
      <c r="D90" s="173"/>
      <c r="E90" s="173"/>
      <c r="F90" s="173"/>
      <c r="G90" s="173"/>
      <c r="H90" s="174"/>
      <c r="I90" s="175"/>
      <c r="J90" s="173"/>
      <c r="K90" s="161"/>
      <c r="L90" s="175"/>
      <c r="M90" s="152"/>
      <c r="N90" s="153"/>
    </row>
    <row r="91" spans="1:14" s="135" customFormat="1" ht="25.5" hidden="1" customHeight="1" thickBot="1">
      <c r="A91" s="175"/>
      <c r="B91" s="176" t="s">
        <v>139</v>
      </c>
      <c r="C91" s="375"/>
      <c r="D91" s="177"/>
      <c r="E91" s="173"/>
      <c r="F91" s="173"/>
      <c r="G91" s="173"/>
      <c r="H91" s="173"/>
      <c r="I91" s="117"/>
      <c r="J91" s="376"/>
      <c r="K91" s="179"/>
      <c r="L91" s="179"/>
      <c r="M91" s="152"/>
      <c r="N91" s="153"/>
    </row>
    <row r="92" spans="1:14" s="135" customFormat="1" ht="41" hidden="1" customHeight="1" thickBot="1">
      <c r="A92" s="180"/>
      <c r="B92" s="181" t="s">
        <v>27</v>
      </c>
      <c r="C92" s="377" t="s">
        <v>131</v>
      </c>
      <c r="D92" s="377" t="s">
        <v>132</v>
      </c>
      <c r="E92" s="378" t="s">
        <v>133</v>
      </c>
      <c r="F92" s="378" t="s">
        <v>31</v>
      </c>
      <c r="G92" s="445" t="s">
        <v>134</v>
      </c>
      <c r="H92" s="446"/>
      <c r="I92" s="378" t="s">
        <v>33</v>
      </c>
      <c r="J92" s="184" t="s">
        <v>34</v>
      </c>
      <c r="K92" s="185" t="s">
        <v>135</v>
      </c>
      <c r="L92" s="186" t="s">
        <v>136</v>
      </c>
      <c r="M92" s="152"/>
      <c r="N92" s="153"/>
    </row>
    <row r="93" spans="1:14" s="135" customFormat="1" ht="18" hidden="1" customHeight="1">
      <c r="A93" s="175"/>
      <c r="B93" s="447">
        <f>'Customs Invoice'!B93</f>
        <v>0</v>
      </c>
      <c r="C93" s="449" t="e">
        <f>'Customs Invoice'!C93</f>
        <v>#N/A</v>
      </c>
      <c r="D93" s="379" t="e">
        <f>VLOOKUP(F93,Sheet2!$A$2:$D$31,4,0)</f>
        <v>#N/A</v>
      </c>
      <c r="E93" s="451" t="e">
        <f>'Customs Invoice'!E93</f>
        <v>#N/A</v>
      </c>
      <c r="F93" s="187">
        <f>'Customs Invoice'!F93</f>
        <v>0</v>
      </c>
      <c r="G93" s="452">
        <f>'Customs Invoice'!G93</f>
        <v>0</v>
      </c>
      <c r="H93" s="454" t="e">
        <f>'Customs Invoice'!H93</f>
        <v>#N/A</v>
      </c>
      <c r="I93" s="456">
        <f>'Customs Invoice'!I93</f>
        <v>0</v>
      </c>
      <c r="J93" s="456">
        <f>'Customs Invoice'!J93</f>
        <v>0</v>
      </c>
      <c r="K93" s="474" t="e">
        <f t="shared" ref="K93" si="20">L93/G93</f>
        <v>#DIV/0!</v>
      </c>
      <c r="L93" s="458">
        <f>'Customs Invoice'!P93</f>
        <v>0</v>
      </c>
      <c r="M93" s="152"/>
      <c r="N93" s="153"/>
    </row>
    <row r="94" spans="1:14" s="135" customFormat="1" ht="18" hidden="1" customHeight="1">
      <c r="A94" s="175"/>
      <c r="B94" s="448"/>
      <c r="C94" s="450"/>
      <c r="D94" s="380" t="e">
        <f>VLOOKUP(F94,Sheet2!$A$2:$D$31,4,0)</f>
        <v>#N/A</v>
      </c>
      <c r="E94" s="449"/>
      <c r="F94" s="188" t="str">
        <f>F93&amp;1</f>
        <v>01</v>
      </c>
      <c r="G94" s="453"/>
      <c r="H94" s="455"/>
      <c r="I94" s="457"/>
      <c r="J94" s="457"/>
      <c r="K94" s="475"/>
      <c r="L94" s="459"/>
      <c r="M94" s="152"/>
      <c r="N94" s="153"/>
    </row>
    <row r="95" spans="1:14" s="135" customFormat="1" ht="18" hidden="1" customHeight="1">
      <c r="A95" s="175"/>
      <c r="B95" s="448">
        <f>'Customs Invoice'!B94</f>
        <v>0</v>
      </c>
      <c r="C95" s="449" t="e">
        <f>'Customs Invoice'!C94</f>
        <v>#N/A</v>
      </c>
      <c r="D95" s="380" t="e">
        <f>VLOOKUP(F95,Sheet2!$A$2:$D$31,4,0)</f>
        <v>#N/A</v>
      </c>
      <c r="E95" s="450" t="e">
        <f>'Customs Invoice'!E94</f>
        <v>#N/A</v>
      </c>
      <c r="F95" s="188">
        <f>'Customs Invoice'!F94</f>
        <v>0</v>
      </c>
      <c r="G95" s="462">
        <f>'Customs Invoice'!G94</f>
        <v>0</v>
      </c>
      <c r="H95" s="463" t="e">
        <f>'Customs Invoice'!H94</f>
        <v>#N/A</v>
      </c>
      <c r="I95" s="464">
        <f>'Customs Invoice'!I94</f>
        <v>0</v>
      </c>
      <c r="J95" s="464">
        <f>'Customs Invoice'!J94</f>
        <v>0</v>
      </c>
      <c r="K95" s="478" t="e">
        <f t="shared" ref="K95" si="21">L95/G95</f>
        <v>#DIV/0!</v>
      </c>
      <c r="L95" s="465">
        <f>'Customs Invoice'!P94</f>
        <v>0</v>
      </c>
      <c r="M95" s="152"/>
      <c r="N95" s="153"/>
    </row>
    <row r="96" spans="1:14" s="135" customFormat="1" ht="18" hidden="1" customHeight="1">
      <c r="A96" s="175"/>
      <c r="B96" s="448"/>
      <c r="C96" s="450"/>
      <c r="D96" s="380" t="e">
        <f>VLOOKUP(F96,Sheet2!$A$2:$D$31,4,0)</f>
        <v>#N/A</v>
      </c>
      <c r="E96" s="450"/>
      <c r="F96" s="188" t="str">
        <f>F95&amp;1</f>
        <v>01</v>
      </c>
      <c r="G96" s="462"/>
      <c r="H96" s="463"/>
      <c r="I96" s="464"/>
      <c r="J96" s="464"/>
      <c r="K96" s="478"/>
      <c r="L96" s="465"/>
      <c r="M96" s="152"/>
      <c r="N96" s="153"/>
    </row>
    <row r="97" spans="1:14" s="135" customFormat="1" ht="18" hidden="1" customHeight="1">
      <c r="A97" s="175"/>
      <c r="B97" s="448">
        <f>'Customs Invoice'!B95</f>
        <v>0</v>
      </c>
      <c r="C97" s="449" t="e">
        <f>'Customs Invoice'!C95</f>
        <v>#N/A</v>
      </c>
      <c r="D97" s="380" t="e">
        <f>VLOOKUP(F97,Sheet2!$A$2:$D$31,4,0)</f>
        <v>#N/A</v>
      </c>
      <c r="E97" s="450" t="e">
        <f>'Customs Invoice'!E95</f>
        <v>#N/A</v>
      </c>
      <c r="F97" s="188">
        <f>'Customs Invoice'!F95</f>
        <v>0</v>
      </c>
      <c r="G97" s="462">
        <f>'Customs Invoice'!G95</f>
        <v>0</v>
      </c>
      <c r="H97" s="463" t="e">
        <f>'Customs Invoice'!H95</f>
        <v>#N/A</v>
      </c>
      <c r="I97" s="464">
        <f>'Customs Invoice'!I95</f>
        <v>0</v>
      </c>
      <c r="J97" s="464">
        <f>'Customs Invoice'!J95</f>
        <v>0</v>
      </c>
      <c r="K97" s="478" t="e">
        <f t="shared" ref="K97" si="22">L97/G97</f>
        <v>#DIV/0!</v>
      </c>
      <c r="L97" s="465">
        <f>'Customs Invoice'!P95</f>
        <v>0</v>
      </c>
      <c r="M97" s="152"/>
      <c r="N97" s="153"/>
    </row>
    <row r="98" spans="1:14" s="135" customFormat="1" ht="18" hidden="1" customHeight="1">
      <c r="A98" s="175"/>
      <c r="B98" s="448"/>
      <c r="C98" s="450"/>
      <c r="D98" s="380" t="e">
        <f>VLOOKUP(F98,Sheet2!$A$2:$D$31,4,0)</f>
        <v>#N/A</v>
      </c>
      <c r="E98" s="450"/>
      <c r="F98" s="188" t="str">
        <f>F97&amp;1</f>
        <v>01</v>
      </c>
      <c r="G98" s="462"/>
      <c r="H98" s="463"/>
      <c r="I98" s="464"/>
      <c r="J98" s="464"/>
      <c r="K98" s="478"/>
      <c r="L98" s="465"/>
      <c r="M98" s="152"/>
      <c r="N98" s="153"/>
    </row>
    <row r="99" spans="1:14" s="135" customFormat="1" ht="18" hidden="1" customHeight="1">
      <c r="A99" s="175"/>
      <c r="B99" s="448">
        <f>'Customs Invoice'!B96</f>
        <v>0</v>
      </c>
      <c r="C99" s="449" t="e">
        <f>'Customs Invoice'!C96</f>
        <v>#N/A</v>
      </c>
      <c r="D99" s="380" t="e">
        <f>VLOOKUP(F99,Sheet2!$A$2:$D$31,4,0)</f>
        <v>#N/A</v>
      </c>
      <c r="E99" s="450" t="e">
        <f>'Customs Invoice'!E96</f>
        <v>#N/A</v>
      </c>
      <c r="F99" s="188">
        <f>'Customs Invoice'!F96</f>
        <v>0</v>
      </c>
      <c r="G99" s="462">
        <f>'Customs Invoice'!G96</f>
        <v>0</v>
      </c>
      <c r="H99" s="463" t="e">
        <f>'Customs Invoice'!H96</f>
        <v>#N/A</v>
      </c>
      <c r="I99" s="464">
        <f>'Customs Invoice'!I96</f>
        <v>0</v>
      </c>
      <c r="J99" s="464">
        <f>'Customs Invoice'!J96</f>
        <v>0</v>
      </c>
      <c r="K99" s="478" t="e">
        <f t="shared" ref="K99" si="23">L99/G99</f>
        <v>#DIV/0!</v>
      </c>
      <c r="L99" s="465">
        <f>'Customs Invoice'!P96</f>
        <v>0</v>
      </c>
      <c r="M99" s="152"/>
      <c r="N99" s="153"/>
    </row>
    <row r="100" spans="1:14" s="135" customFormat="1" ht="18" hidden="1" customHeight="1">
      <c r="A100" s="175"/>
      <c r="B100" s="448"/>
      <c r="C100" s="450"/>
      <c r="D100" s="380" t="e">
        <f>VLOOKUP(F100,Sheet2!$A$2:$D$31,4,0)</f>
        <v>#N/A</v>
      </c>
      <c r="E100" s="450"/>
      <c r="F100" s="188" t="str">
        <f>F99&amp;1</f>
        <v>01</v>
      </c>
      <c r="G100" s="462"/>
      <c r="H100" s="463"/>
      <c r="I100" s="464"/>
      <c r="J100" s="464"/>
      <c r="K100" s="478"/>
      <c r="L100" s="465"/>
      <c r="M100" s="152"/>
      <c r="N100" s="153"/>
    </row>
    <row r="101" spans="1:14" s="135" customFormat="1" ht="18" hidden="1" customHeight="1">
      <c r="A101" s="175"/>
      <c r="B101" s="448">
        <f>'Customs Invoice'!B97</f>
        <v>0</v>
      </c>
      <c r="C101" s="449" t="e">
        <f>'Customs Invoice'!C97</f>
        <v>#N/A</v>
      </c>
      <c r="D101" s="380" t="e">
        <f>VLOOKUP(F101,Sheet2!$A$2:$D$31,4,0)</f>
        <v>#N/A</v>
      </c>
      <c r="E101" s="450" t="e">
        <f>'Customs Invoice'!E97</f>
        <v>#N/A</v>
      </c>
      <c r="F101" s="188">
        <f>'Customs Invoice'!F97</f>
        <v>0</v>
      </c>
      <c r="G101" s="462">
        <f>'Customs Invoice'!G97</f>
        <v>0</v>
      </c>
      <c r="H101" s="463" t="e">
        <f>'Customs Invoice'!H97</f>
        <v>#N/A</v>
      </c>
      <c r="I101" s="464">
        <f>'Customs Invoice'!I97</f>
        <v>0</v>
      </c>
      <c r="J101" s="464">
        <f>'Customs Invoice'!J97</f>
        <v>0</v>
      </c>
      <c r="K101" s="478" t="e">
        <f t="shared" ref="K101" si="24">L101/G101</f>
        <v>#DIV/0!</v>
      </c>
      <c r="L101" s="465">
        <f>'Customs Invoice'!P97</f>
        <v>0</v>
      </c>
      <c r="M101" s="152"/>
      <c r="N101" s="153"/>
    </row>
    <row r="102" spans="1:14" s="135" customFormat="1" ht="18" hidden="1" customHeight="1">
      <c r="A102" s="175"/>
      <c r="B102" s="448"/>
      <c r="C102" s="450"/>
      <c r="D102" s="380" t="e">
        <f>VLOOKUP(F102,Sheet2!$A$2:$D$31,4,0)</f>
        <v>#N/A</v>
      </c>
      <c r="E102" s="450"/>
      <c r="F102" s="188" t="str">
        <f>F101&amp;1</f>
        <v>01</v>
      </c>
      <c r="G102" s="462"/>
      <c r="H102" s="463"/>
      <c r="I102" s="464"/>
      <c r="J102" s="464"/>
      <c r="K102" s="478"/>
      <c r="L102" s="465"/>
      <c r="M102" s="152"/>
      <c r="N102" s="153"/>
    </row>
    <row r="103" spans="1:14" s="135" customFormat="1" ht="18" hidden="1" customHeight="1">
      <c r="A103" s="175"/>
      <c r="B103" s="448">
        <f>'Customs Invoice'!B98</f>
        <v>0</v>
      </c>
      <c r="C103" s="449" t="e">
        <f>'Customs Invoice'!C98</f>
        <v>#N/A</v>
      </c>
      <c r="D103" s="380" t="e">
        <f>VLOOKUP(F103,Sheet2!$A$2:$D$31,4,0)</f>
        <v>#N/A</v>
      </c>
      <c r="E103" s="450" t="e">
        <f>'Customs Invoice'!E98</f>
        <v>#N/A</v>
      </c>
      <c r="F103" s="188">
        <f>'Customs Invoice'!F98</f>
        <v>0</v>
      </c>
      <c r="G103" s="462">
        <f>'Customs Invoice'!G98</f>
        <v>0</v>
      </c>
      <c r="H103" s="463" t="e">
        <f>'Customs Invoice'!H98</f>
        <v>#N/A</v>
      </c>
      <c r="I103" s="464">
        <f>'Customs Invoice'!I98</f>
        <v>0</v>
      </c>
      <c r="J103" s="464">
        <f>'Customs Invoice'!J98</f>
        <v>0</v>
      </c>
      <c r="K103" s="478" t="e">
        <f t="shared" ref="K103" si="25">L103/G103</f>
        <v>#DIV/0!</v>
      </c>
      <c r="L103" s="465">
        <f>'Customs Invoice'!P98</f>
        <v>0</v>
      </c>
      <c r="M103" s="152"/>
      <c r="N103" s="153"/>
    </row>
    <row r="104" spans="1:14" s="135" customFormat="1" ht="18" hidden="1" customHeight="1">
      <c r="A104" s="175"/>
      <c r="B104" s="448"/>
      <c r="C104" s="450"/>
      <c r="D104" s="380" t="e">
        <f>VLOOKUP(F104,Sheet2!$A$2:$D$31,4,0)</f>
        <v>#N/A</v>
      </c>
      <c r="E104" s="450"/>
      <c r="F104" s="188" t="str">
        <f>F103&amp;1</f>
        <v>01</v>
      </c>
      <c r="G104" s="462"/>
      <c r="H104" s="463"/>
      <c r="I104" s="464"/>
      <c r="J104" s="464"/>
      <c r="K104" s="478"/>
      <c r="L104" s="465"/>
      <c r="M104" s="152"/>
      <c r="N104" s="153"/>
    </row>
    <row r="105" spans="1:14" s="135" customFormat="1" ht="18" hidden="1" customHeight="1">
      <c r="A105" s="175"/>
      <c r="B105" s="448">
        <f>'Customs Invoice'!B99</f>
        <v>0</v>
      </c>
      <c r="C105" s="449" t="e">
        <f>'Customs Invoice'!C99</f>
        <v>#N/A</v>
      </c>
      <c r="D105" s="380" t="e">
        <f>VLOOKUP(F105,Sheet2!$A$2:$D$31,4,0)</f>
        <v>#N/A</v>
      </c>
      <c r="E105" s="450" t="e">
        <f>'Customs Invoice'!E99</f>
        <v>#N/A</v>
      </c>
      <c r="F105" s="188">
        <f>'Customs Invoice'!F99</f>
        <v>0</v>
      </c>
      <c r="G105" s="462">
        <f>'Customs Invoice'!G99</f>
        <v>0</v>
      </c>
      <c r="H105" s="463" t="e">
        <f>'Customs Invoice'!H99</f>
        <v>#N/A</v>
      </c>
      <c r="I105" s="464">
        <f>'Customs Invoice'!I99</f>
        <v>0</v>
      </c>
      <c r="J105" s="464">
        <f>'Customs Invoice'!J99</f>
        <v>0</v>
      </c>
      <c r="K105" s="478" t="e">
        <f t="shared" ref="K105" si="26">L105/G105</f>
        <v>#DIV/0!</v>
      </c>
      <c r="L105" s="465">
        <f>'Customs Invoice'!P99</f>
        <v>0</v>
      </c>
      <c r="M105" s="152"/>
      <c r="N105" s="153"/>
    </row>
    <row r="106" spans="1:14" s="135" customFormat="1" ht="18" hidden="1" customHeight="1">
      <c r="A106" s="175"/>
      <c r="B106" s="448"/>
      <c r="C106" s="450"/>
      <c r="D106" s="380" t="e">
        <f>VLOOKUP(F106,Sheet2!$A$2:$D$31,4,0)</f>
        <v>#N/A</v>
      </c>
      <c r="E106" s="450"/>
      <c r="F106" s="188" t="str">
        <f>F105&amp;1</f>
        <v>01</v>
      </c>
      <c r="G106" s="462"/>
      <c r="H106" s="463"/>
      <c r="I106" s="464"/>
      <c r="J106" s="464"/>
      <c r="K106" s="478"/>
      <c r="L106" s="465"/>
      <c r="M106" s="152"/>
      <c r="N106" s="153"/>
    </row>
    <row r="107" spans="1:14" s="135" customFormat="1" ht="18" hidden="1" customHeight="1">
      <c r="A107" s="175"/>
      <c r="B107" s="448">
        <f>'Customs Invoice'!B100</f>
        <v>0</v>
      </c>
      <c r="C107" s="449" t="e">
        <f>'Customs Invoice'!C100</f>
        <v>#N/A</v>
      </c>
      <c r="D107" s="380" t="e">
        <f>VLOOKUP(F107,Sheet2!$A$2:$D$31,4,0)</f>
        <v>#N/A</v>
      </c>
      <c r="E107" s="450" t="e">
        <f>'Customs Invoice'!E100</f>
        <v>#N/A</v>
      </c>
      <c r="F107" s="188">
        <f>'Customs Invoice'!F100</f>
        <v>0</v>
      </c>
      <c r="G107" s="462">
        <f>'Customs Invoice'!G100</f>
        <v>0</v>
      </c>
      <c r="H107" s="463" t="e">
        <f>'Customs Invoice'!H100</f>
        <v>#N/A</v>
      </c>
      <c r="I107" s="464">
        <f>'Customs Invoice'!I100</f>
        <v>0</v>
      </c>
      <c r="J107" s="464">
        <f>'Customs Invoice'!J100</f>
        <v>0</v>
      </c>
      <c r="K107" s="478" t="e">
        <f t="shared" ref="K107" si="27">L107/G107</f>
        <v>#DIV/0!</v>
      </c>
      <c r="L107" s="465">
        <f>'Customs Invoice'!P100</f>
        <v>0</v>
      </c>
      <c r="M107" s="152"/>
      <c r="N107" s="153"/>
    </row>
    <row r="108" spans="1:14" s="135" customFormat="1" ht="18" hidden="1" customHeight="1">
      <c r="A108" s="175"/>
      <c r="B108" s="448"/>
      <c r="C108" s="450"/>
      <c r="D108" s="380" t="e">
        <f>VLOOKUP(F108,Sheet2!$A$2:$D$31,4,0)</f>
        <v>#N/A</v>
      </c>
      <c r="E108" s="450"/>
      <c r="F108" s="188" t="str">
        <f>F107&amp;1</f>
        <v>01</v>
      </c>
      <c r="G108" s="462"/>
      <c r="H108" s="463"/>
      <c r="I108" s="464"/>
      <c r="J108" s="464"/>
      <c r="K108" s="478"/>
      <c r="L108" s="465"/>
      <c r="M108" s="152"/>
      <c r="N108" s="153"/>
    </row>
    <row r="109" spans="1:14" s="135" customFormat="1" ht="18" hidden="1" customHeight="1">
      <c r="A109" s="175"/>
      <c r="B109" s="448">
        <f>'Customs Invoice'!B101</f>
        <v>0</v>
      </c>
      <c r="C109" s="449" t="e">
        <f>'Customs Invoice'!C101</f>
        <v>#N/A</v>
      </c>
      <c r="D109" s="380" t="e">
        <f>VLOOKUP(F109,Sheet2!$A$2:$D$31,4,0)</f>
        <v>#N/A</v>
      </c>
      <c r="E109" s="450" t="e">
        <f>'Customs Invoice'!E101</f>
        <v>#N/A</v>
      </c>
      <c r="F109" s="188">
        <f>'Customs Invoice'!F101</f>
        <v>0</v>
      </c>
      <c r="G109" s="462">
        <f>'Customs Invoice'!G101</f>
        <v>0</v>
      </c>
      <c r="H109" s="463" t="e">
        <f>'Customs Invoice'!H101</f>
        <v>#N/A</v>
      </c>
      <c r="I109" s="464">
        <f>'Customs Invoice'!I101</f>
        <v>0</v>
      </c>
      <c r="J109" s="464">
        <f>'Customs Invoice'!J101</f>
        <v>0</v>
      </c>
      <c r="K109" s="478" t="e">
        <f t="shared" ref="K109" si="28">L109/G109</f>
        <v>#DIV/0!</v>
      </c>
      <c r="L109" s="465">
        <f>'Customs Invoice'!P101</f>
        <v>0</v>
      </c>
      <c r="M109" s="152"/>
      <c r="N109" s="153"/>
    </row>
    <row r="110" spans="1:14" s="135" customFormat="1" ht="18" hidden="1" customHeight="1">
      <c r="A110" s="175"/>
      <c r="B110" s="448"/>
      <c r="C110" s="450"/>
      <c r="D110" s="380" t="e">
        <f>VLOOKUP(F110,Sheet2!$A$2:$D$31,4,0)</f>
        <v>#N/A</v>
      </c>
      <c r="E110" s="450"/>
      <c r="F110" s="188" t="str">
        <f>F109&amp;1</f>
        <v>01</v>
      </c>
      <c r="G110" s="462"/>
      <c r="H110" s="463"/>
      <c r="I110" s="464"/>
      <c r="J110" s="464"/>
      <c r="K110" s="478"/>
      <c r="L110" s="465"/>
      <c r="M110" s="152"/>
      <c r="N110" s="153"/>
    </row>
    <row r="111" spans="1:14" s="135" customFormat="1" ht="18" hidden="1" customHeight="1">
      <c r="A111" s="175"/>
      <c r="B111" s="448">
        <f>'Customs Invoice'!B102</f>
        <v>0</v>
      </c>
      <c r="C111" s="449" t="e">
        <f>'Customs Invoice'!C102</f>
        <v>#N/A</v>
      </c>
      <c r="D111" s="380" t="e">
        <f>VLOOKUP(F111,Sheet2!$A$2:$D$31,4,0)</f>
        <v>#N/A</v>
      </c>
      <c r="E111" s="450" t="e">
        <f>'Customs Invoice'!E102</f>
        <v>#N/A</v>
      </c>
      <c r="F111" s="188">
        <f>'Customs Invoice'!F102</f>
        <v>0</v>
      </c>
      <c r="G111" s="462">
        <f>'Customs Invoice'!G102</f>
        <v>0</v>
      </c>
      <c r="H111" s="463" t="e">
        <f>'Customs Invoice'!H102</f>
        <v>#N/A</v>
      </c>
      <c r="I111" s="464">
        <f>'Customs Invoice'!I102</f>
        <v>0</v>
      </c>
      <c r="J111" s="464">
        <f>'Customs Invoice'!J102</f>
        <v>0</v>
      </c>
      <c r="K111" s="478" t="e">
        <f t="shared" ref="K111" si="29">L111/G111</f>
        <v>#DIV/0!</v>
      </c>
      <c r="L111" s="465">
        <f>'Customs Invoice'!P102</f>
        <v>0</v>
      </c>
      <c r="M111" s="152"/>
      <c r="N111" s="153"/>
    </row>
    <row r="112" spans="1:14" s="135" customFormat="1" ht="18" hidden="1" customHeight="1" thickBot="1">
      <c r="A112" s="175"/>
      <c r="B112" s="470"/>
      <c r="C112" s="450"/>
      <c r="D112" s="381" t="e">
        <f>VLOOKUP(F112,Sheet2!$A$2:$D$31,4,0)</f>
        <v>#N/A</v>
      </c>
      <c r="E112" s="471"/>
      <c r="F112" s="190" t="str">
        <f>F111&amp;1</f>
        <v>01</v>
      </c>
      <c r="G112" s="472"/>
      <c r="H112" s="473"/>
      <c r="I112" s="466"/>
      <c r="J112" s="466"/>
      <c r="K112" s="479"/>
      <c r="L112" s="467"/>
      <c r="M112" s="152"/>
      <c r="N112" s="153"/>
    </row>
    <row r="113" spans="1:14" s="135" customFormat="1" ht="30" hidden="1" customHeight="1" thickBot="1">
      <c r="A113" s="175"/>
      <c r="B113" s="468" t="s">
        <v>38</v>
      </c>
      <c r="C113" s="469"/>
      <c r="D113" s="469"/>
      <c r="E113" s="469"/>
      <c r="F113" s="191"/>
      <c r="G113" s="480">
        <f>SUM(G93:G112)</f>
        <v>0</v>
      </c>
      <c r="H113" s="481"/>
      <c r="I113" s="192">
        <f>SUM(I93:I112)</f>
        <v>0</v>
      </c>
      <c r="J113" s="192">
        <f>SUM(J93:J112)</f>
        <v>0</v>
      </c>
      <c r="K113" s="203"/>
      <c r="L113" s="193">
        <f>SUM(L93:L112)</f>
        <v>0</v>
      </c>
      <c r="M113" s="152"/>
      <c r="N113" s="153"/>
    </row>
    <row r="114" spans="1:14" s="135" customFormat="1" ht="29.5" hidden="1" customHeight="1">
      <c r="A114" s="175"/>
      <c r="B114" s="119"/>
      <c r="C114" s="173"/>
      <c r="D114" s="119"/>
      <c r="E114" s="118"/>
      <c r="F114" s="118"/>
      <c r="G114" s="120"/>
      <c r="H114" s="194"/>
      <c r="I114" s="195"/>
      <c r="J114" s="195"/>
      <c r="K114" s="121"/>
      <c r="L114" s="121"/>
      <c r="M114" s="152"/>
      <c r="N114" s="153"/>
    </row>
    <row r="115" spans="1:14" s="135" customFormat="1" ht="25.5" hidden="1" customHeight="1" thickBot="1">
      <c r="A115" s="175"/>
      <c r="B115" s="176" t="s">
        <v>140</v>
      </c>
      <c r="C115" s="375"/>
      <c r="D115" s="177"/>
      <c r="E115" s="173"/>
      <c r="F115" s="173"/>
      <c r="G115" s="173"/>
      <c r="H115" s="173"/>
      <c r="I115" s="117"/>
      <c r="J115" s="376"/>
      <c r="K115" s="179"/>
      <c r="L115" s="179"/>
      <c r="M115" s="152"/>
      <c r="N115" s="153"/>
    </row>
    <row r="116" spans="1:14" s="135" customFormat="1" ht="41" hidden="1" customHeight="1" thickBot="1">
      <c r="A116" s="180"/>
      <c r="B116" s="181" t="s">
        <v>27</v>
      </c>
      <c r="C116" s="377" t="s">
        <v>131</v>
      </c>
      <c r="D116" s="377" t="s">
        <v>132</v>
      </c>
      <c r="E116" s="378" t="s">
        <v>133</v>
      </c>
      <c r="F116" s="378" t="s">
        <v>31</v>
      </c>
      <c r="G116" s="445" t="s">
        <v>134</v>
      </c>
      <c r="H116" s="446"/>
      <c r="I116" s="378" t="s">
        <v>33</v>
      </c>
      <c r="J116" s="184" t="s">
        <v>34</v>
      </c>
      <c r="K116" s="185" t="s">
        <v>135</v>
      </c>
      <c r="L116" s="186" t="s">
        <v>136</v>
      </c>
      <c r="M116" s="152"/>
      <c r="N116" s="153"/>
    </row>
    <row r="117" spans="1:14" s="135" customFormat="1" ht="18" hidden="1" customHeight="1">
      <c r="A117" s="175"/>
      <c r="B117" s="447">
        <f>'Customs Invoice'!B117</f>
        <v>0</v>
      </c>
      <c r="C117" s="449" t="e">
        <f>'Customs Invoice'!C117</f>
        <v>#N/A</v>
      </c>
      <c r="D117" s="379" t="e">
        <f>VLOOKUP(F117,Sheet2!$A$2:$D$31,4,0)</f>
        <v>#N/A</v>
      </c>
      <c r="E117" s="451" t="e">
        <f>'Customs Invoice'!E117</f>
        <v>#N/A</v>
      </c>
      <c r="F117" s="187">
        <f>'Customs Invoice'!F117</f>
        <v>0</v>
      </c>
      <c r="G117" s="452">
        <f>'Customs Invoice'!G117</f>
        <v>0</v>
      </c>
      <c r="H117" s="454" t="e">
        <f>'Customs Invoice'!H117</f>
        <v>#N/A</v>
      </c>
      <c r="I117" s="456">
        <f>'Customs Invoice'!I117</f>
        <v>0</v>
      </c>
      <c r="J117" s="456">
        <f>'Customs Invoice'!J117</f>
        <v>0</v>
      </c>
      <c r="K117" s="474" t="e">
        <f t="shared" ref="K117" si="30">L117/G117</f>
        <v>#DIV/0!</v>
      </c>
      <c r="L117" s="458">
        <f>'Customs Invoice'!P117</f>
        <v>0</v>
      </c>
      <c r="M117" s="152"/>
      <c r="N117" s="153"/>
    </row>
    <row r="118" spans="1:14" s="135" customFormat="1" ht="18" hidden="1" customHeight="1">
      <c r="A118" s="175"/>
      <c r="B118" s="448"/>
      <c r="C118" s="450"/>
      <c r="D118" s="380" t="e">
        <f>VLOOKUP(F118,Sheet2!$A$2:$D$31,4,0)</f>
        <v>#N/A</v>
      </c>
      <c r="E118" s="449"/>
      <c r="F118" s="188" t="str">
        <f>F117&amp;1</f>
        <v>01</v>
      </c>
      <c r="G118" s="453"/>
      <c r="H118" s="455"/>
      <c r="I118" s="457"/>
      <c r="J118" s="457"/>
      <c r="K118" s="475"/>
      <c r="L118" s="459"/>
      <c r="M118" s="152"/>
      <c r="N118" s="153"/>
    </row>
    <row r="119" spans="1:14" s="135" customFormat="1" ht="18" hidden="1" customHeight="1">
      <c r="A119" s="175"/>
      <c r="B119" s="448">
        <f>'Customs Invoice'!B118</f>
        <v>0</v>
      </c>
      <c r="C119" s="449" t="e">
        <f>'Customs Invoice'!C118</f>
        <v>#N/A</v>
      </c>
      <c r="D119" s="380" t="e">
        <f>VLOOKUP(F119,Sheet2!$A$2:$D$31,4,0)</f>
        <v>#N/A</v>
      </c>
      <c r="E119" s="450" t="e">
        <f>'Customs Invoice'!E118</f>
        <v>#N/A</v>
      </c>
      <c r="F119" s="188">
        <f>'Customs Invoice'!F118</f>
        <v>0</v>
      </c>
      <c r="G119" s="462">
        <f>'Customs Invoice'!G118</f>
        <v>0</v>
      </c>
      <c r="H119" s="463" t="e">
        <f>'Customs Invoice'!H118</f>
        <v>#N/A</v>
      </c>
      <c r="I119" s="464">
        <f>'Customs Invoice'!I118</f>
        <v>0</v>
      </c>
      <c r="J119" s="464">
        <f>'Customs Invoice'!J118</f>
        <v>0</v>
      </c>
      <c r="K119" s="478" t="e">
        <f t="shared" ref="K119" si="31">L119/G119</f>
        <v>#DIV/0!</v>
      </c>
      <c r="L119" s="465">
        <f>'Customs Invoice'!P118</f>
        <v>0</v>
      </c>
      <c r="M119" s="152"/>
      <c r="N119" s="153"/>
    </row>
    <row r="120" spans="1:14" s="135" customFormat="1" ht="18" hidden="1" customHeight="1">
      <c r="A120" s="175"/>
      <c r="B120" s="448"/>
      <c r="C120" s="450"/>
      <c r="D120" s="380" t="e">
        <f>VLOOKUP(F120,Sheet2!$A$2:$D$31,4,0)</f>
        <v>#N/A</v>
      </c>
      <c r="E120" s="450"/>
      <c r="F120" s="188" t="str">
        <f>F119&amp;1</f>
        <v>01</v>
      </c>
      <c r="G120" s="462"/>
      <c r="H120" s="463"/>
      <c r="I120" s="464"/>
      <c r="J120" s="464"/>
      <c r="K120" s="478"/>
      <c r="L120" s="465"/>
      <c r="M120" s="152"/>
      <c r="N120" s="153"/>
    </row>
    <row r="121" spans="1:14" s="135" customFormat="1" ht="18" hidden="1" customHeight="1">
      <c r="A121" s="175"/>
      <c r="B121" s="448">
        <f>'Customs Invoice'!B119</f>
        <v>0</v>
      </c>
      <c r="C121" s="449" t="e">
        <f>'Customs Invoice'!C119</f>
        <v>#N/A</v>
      </c>
      <c r="D121" s="380" t="e">
        <f>VLOOKUP(F121,Sheet2!$A$2:$D$31,4,0)</f>
        <v>#N/A</v>
      </c>
      <c r="E121" s="450" t="e">
        <f>'Customs Invoice'!E119</f>
        <v>#N/A</v>
      </c>
      <c r="F121" s="188">
        <f>'Customs Invoice'!F119</f>
        <v>0</v>
      </c>
      <c r="G121" s="462">
        <f>'Customs Invoice'!G119</f>
        <v>0</v>
      </c>
      <c r="H121" s="463" t="e">
        <f>'Customs Invoice'!H119</f>
        <v>#N/A</v>
      </c>
      <c r="I121" s="464">
        <f>'Customs Invoice'!I119</f>
        <v>0</v>
      </c>
      <c r="J121" s="464">
        <f>'Customs Invoice'!J119</f>
        <v>0</v>
      </c>
      <c r="K121" s="478" t="e">
        <f t="shared" ref="K121" si="32">L121/G121</f>
        <v>#DIV/0!</v>
      </c>
      <c r="L121" s="465">
        <f>'Customs Invoice'!P119</f>
        <v>0</v>
      </c>
      <c r="M121" s="152"/>
      <c r="N121" s="153"/>
    </row>
    <row r="122" spans="1:14" s="135" customFormat="1" ht="18" hidden="1" customHeight="1">
      <c r="A122" s="175"/>
      <c r="B122" s="448"/>
      <c r="C122" s="450"/>
      <c r="D122" s="380" t="e">
        <f>VLOOKUP(F122,Sheet2!$A$2:$D$31,4,0)</f>
        <v>#N/A</v>
      </c>
      <c r="E122" s="450"/>
      <c r="F122" s="188" t="str">
        <f>F121&amp;1</f>
        <v>01</v>
      </c>
      <c r="G122" s="462"/>
      <c r="H122" s="463"/>
      <c r="I122" s="464"/>
      <c r="J122" s="464"/>
      <c r="K122" s="478"/>
      <c r="L122" s="465"/>
      <c r="M122" s="152"/>
      <c r="N122" s="153"/>
    </row>
    <row r="123" spans="1:14" s="135" customFormat="1" ht="18" hidden="1" customHeight="1">
      <c r="A123" s="175"/>
      <c r="B123" s="448">
        <f>'Customs Invoice'!B120</f>
        <v>0</v>
      </c>
      <c r="C123" s="449" t="e">
        <f>'Customs Invoice'!C120</f>
        <v>#N/A</v>
      </c>
      <c r="D123" s="380" t="e">
        <f>VLOOKUP(F123,Sheet2!$A$2:$D$31,4,0)</f>
        <v>#N/A</v>
      </c>
      <c r="E123" s="450" t="e">
        <f>'Customs Invoice'!E120</f>
        <v>#N/A</v>
      </c>
      <c r="F123" s="188">
        <f>'Customs Invoice'!F120</f>
        <v>0</v>
      </c>
      <c r="G123" s="462">
        <f>'Customs Invoice'!G120</f>
        <v>0</v>
      </c>
      <c r="H123" s="463" t="e">
        <f>'Customs Invoice'!H120</f>
        <v>#N/A</v>
      </c>
      <c r="I123" s="464">
        <f>'Customs Invoice'!I120</f>
        <v>0</v>
      </c>
      <c r="J123" s="464">
        <f>'Customs Invoice'!J120</f>
        <v>0</v>
      </c>
      <c r="K123" s="478" t="e">
        <f t="shared" ref="K123" si="33">L123/G123</f>
        <v>#DIV/0!</v>
      </c>
      <c r="L123" s="465">
        <f>'Customs Invoice'!P120</f>
        <v>0</v>
      </c>
      <c r="M123" s="152"/>
      <c r="N123" s="153"/>
    </row>
    <row r="124" spans="1:14" s="135" customFormat="1" ht="18" hidden="1" customHeight="1">
      <c r="A124" s="175"/>
      <c r="B124" s="448"/>
      <c r="C124" s="450"/>
      <c r="D124" s="380" t="e">
        <f>VLOOKUP(F124,Sheet2!$A$2:$D$31,4,0)</f>
        <v>#N/A</v>
      </c>
      <c r="E124" s="450"/>
      <c r="F124" s="188" t="str">
        <f>F123&amp;1</f>
        <v>01</v>
      </c>
      <c r="G124" s="462"/>
      <c r="H124" s="463"/>
      <c r="I124" s="464"/>
      <c r="J124" s="464"/>
      <c r="K124" s="478"/>
      <c r="L124" s="465"/>
      <c r="M124" s="152"/>
      <c r="N124" s="153"/>
    </row>
    <row r="125" spans="1:14" s="135" customFormat="1" ht="18" hidden="1" customHeight="1">
      <c r="A125" s="175"/>
      <c r="B125" s="448">
        <f>'Customs Invoice'!B121</f>
        <v>0</v>
      </c>
      <c r="C125" s="449" t="e">
        <f>'Customs Invoice'!C121</f>
        <v>#N/A</v>
      </c>
      <c r="D125" s="380" t="e">
        <f>VLOOKUP(F125,Sheet2!$A$2:$D$31,4,0)</f>
        <v>#N/A</v>
      </c>
      <c r="E125" s="450" t="e">
        <f>'Customs Invoice'!E121</f>
        <v>#N/A</v>
      </c>
      <c r="F125" s="188">
        <f>'Customs Invoice'!F121</f>
        <v>0</v>
      </c>
      <c r="G125" s="462">
        <f>'Customs Invoice'!G121</f>
        <v>0</v>
      </c>
      <c r="H125" s="463" t="e">
        <f>'Customs Invoice'!H121</f>
        <v>#N/A</v>
      </c>
      <c r="I125" s="464">
        <f>'Customs Invoice'!I121</f>
        <v>0</v>
      </c>
      <c r="J125" s="464">
        <f>'Customs Invoice'!J121</f>
        <v>0</v>
      </c>
      <c r="K125" s="478" t="e">
        <f t="shared" ref="K125" si="34">L125/G125</f>
        <v>#DIV/0!</v>
      </c>
      <c r="L125" s="465">
        <f>'Customs Invoice'!P121</f>
        <v>0</v>
      </c>
      <c r="M125" s="152"/>
      <c r="N125" s="153"/>
    </row>
    <row r="126" spans="1:14" s="135" customFormat="1" ht="18" hidden="1" customHeight="1">
      <c r="A126" s="175"/>
      <c r="B126" s="448"/>
      <c r="C126" s="450"/>
      <c r="D126" s="380" t="e">
        <f>VLOOKUP(F126,Sheet2!$A$2:$D$31,4,0)</f>
        <v>#N/A</v>
      </c>
      <c r="E126" s="450"/>
      <c r="F126" s="188" t="str">
        <f>F125&amp;1</f>
        <v>01</v>
      </c>
      <c r="G126" s="462"/>
      <c r="H126" s="463"/>
      <c r="I126" s="464"/>
      <c r="J126" s="464"/>
      <c r="K126" s="478"/>
      <c r="L126" s="465"/>
      <c r="M126" s="152"/>
      <c r="N126" s="153"/>
    </row>
    <row r="127" spans="1:14" s="135" customFormat="1" ht="18" hidden="1" customHeight="1">
      <c r="A127" s="175"/>
      <c r="B127" s="448">
        <f>'Customs Invoice'!B122</f>
        <v>0</v>
      </c>
      <c r="C127" s="449" t="e">
        <f>'Customs Invoice'!C122</f>
        <v>#N/A</v>
      </c>
      <c r="D127" s="380" t="e">
        <f>VLOOKUP(F127,Sheet2!$A$2:$D$31,4,0)</f>
        <v>#N/A</v>
      </c>
      <c r="E127" s="450" t="e">
        <f>'Customs Invoice'!E122</f>
        <v>#N/A</v>
      </c>
      <c r="F127" s="188">
        <f>'Customs Invoice'!F122</f>
        <v>0</v>
      </c>
      <c r="G127" s="462">
        <f>'Customs Invoice'!G122</f>
        <v>0</v>
      </c>
      <c r="H127" s="463" t="e">
        <f>'Customs Invoice'!H122</f>
        <v>#N/A</v>
      </c>
      <c r="I127" s="464">
        <f>'Customs Invoice'!I122</f>
        <v>0</v>
      </c>
      <c r="J127" s="464">
        <f>'Customs Invoice'!J122</f>
        <v>0</v>
      </c>
      <c r="K127" s="478" t="e">
        <f t="shared" ref="K127" si="35">L127/G127</f>
        <v>#DIV/0!</v>
      </c>
      <c r="L127" s="465">
        <f>'Customs Invoice'!P122</f>
        <v>0</v>
      </c>
      <c r="M127" s="152"/>
      <c r="N127" s="153"/>
    </row>
    <row r="128" spans="1:14" s="135" customFormat="1" ht="18" hidden="1" customHeight="1">
      <c r="A128" s="175"/>
      <c r="B128" s="448"/>
      <c r="C128" s="450"/>
      <c r="D128" s="380" t="e">
        <f>VLOOKUP(F128,Sheet2!$A$2:$D$31,4,0)</f>
        <v>#N/A</v>
      </c>
      <c r="E128" s="450"/>
      <c r="F128" s="188" t="str">
        <f>F127&amp;1</f>
        <v>01</v>
      </c>
      <c r="G128" s="462"/>
      <c r="H128" s="463"/>
      <c r="I128" s="464"/>
      <c r="J128" s="464"/>
      <c r="K128" s="478"/>
      <c r="L128" s="465"/>
      <c r="M128" s="152"/>
      <c r="N128" s="153"/>
    </row>
    <row r="129" spans="1:14" s="135" customFormat="1" ht="18" hidden="1" customHeight="1">
      <c r="A129" s="175"/>
      <c r="B129" s="448">
        <f>'Customs Invoice'!B123</f>
        <v>0</v>
      </c>
      <c r="C129" s="449" t="e">
        <f>'Customs Invoice'!C123</f>
        <v>#N/A</v>
      </c>
      <c r="D129" s="380" t="e">
        <f>VLOOKUP(F129,Sheet2!$A$2:$D$31,4,0)</f>
        <v>#N/A</v>
      </c>
      <c r="E129" s="450" t="e">
        <f>'Customs Invoice'!E123</f>
        <v>#N/A</v>
      </c>
      <c r="F129" s="188">
        <f>'Customs Invoice'!F123</f>
        <v>0</v>
      </c>
      <c r="G129" s="462">
        <f>'Customs Invoice'!G123</f>
        <v>0</v>
      </c>
      <c r="H129" s="463" t="e">
        <f>'Customs Invoice'!H123</f>
        <v>#N/A</v>
      </c>
      <c r="I129" s="464">
        <f>'Customs Invoice'!I123</f>
        <v>0</v>
      </c>
      <c r="J129" s="464">
        <f>'Customs Invoice'!J123</f>
        <v>0</v>
      </c>
      <c r="K129" s="478" t="e">
        <f t="shared" ref="K129" si="36">L129/G129</f>
        <v>#DIV/0!</v>
      </c>
      <c r="L129" s="465">
        <f>'Customs Invoice'!P123</f>
        <v>0</v>
      </c>
      <c r="M129" s="152"/>
      <c r="N129" s="153"/>
    </row>
    <row r="130" spans="1:14" s="135" customFormat="1" ht="18" hidden="1" customHeight="1">
      <c r="A130" s="175"/>
      <c r="B130" s="448"/>
      <c r="C130" s="450"/>
      <c r="D130" s="380" t="e">
        <f>VLOOKUP(F130,Sheet2!$A$2:$D$31,4,0)</f>
        <v>#N/A</v>
      </c>
      <c r="E130" s="450"/>
      <c r="F130" s="188" t="str">
        <f>F129&amp;1</f>
        <v>01</v>
      </c>
      <c r="G130" s="462"/>
      <c r="H130" s="463"/>
      <c r="I130" s="464"/>
      <c r="J130" s="464"/>
      <c r="K130" s="478"/>
      <c r="L130" s="465"/>
      <c r="M130" s="152"/>
      <c r="N130" s="153"/>
    </row>
    <row r="131" spans="1:14" s="135" customFormat="1" ht="18" hidden="1" customHeight="1">
      <c r="A131" s="175"/>
      <c r="B131" s="448">
        <f>'Customs Invoice'!B124</f>
        <v>0</v>
      </c>
      <c r="C131" s="449" t="e">
        <f>'Customs Invoice'!C124</f>
        <v>#N/A</v>
      </c>
      <c r="D131" s="380" t="e">
        <f>VLOOKUP(F131,Sheet2!$A$2:$D$31,4,0)</f>
        <v>#N/A</v>
      </c>
      <c r="E131" s="450" t="e">
        <f>'Customs Invoice'!E124</f>
        <v>#N/A</v>
      </c>
      <c r="F131" s="188">
        <f>'Customs Invoice'!F124</f>
        <v>0</v>
      </c>
      <c r="G131" s="462">
        <f>'Customs Invoice'!G124</f>
        <v>0</v>
      </c>
      <c r="H131" s="463" t="e">
        <f>'Customs Invoice'!H124</f>
        <v>#N/A</v>
      </c>
      <c r="I131" s="464">
        <f>'Customs Invoice'!I124</f>
        <v>0</v>
      </c>
      <c r="J131" s="464">
        <f>'Customs Invoice'!J124</f>
        <v>0</v>
      </c>
      <c r="K131" s="478" t="e">
        <f t="shared" ref="K131" si="37">L131/G131</f>
        <v>#DIV/0!</v>
      </c>
      <c r="L131" s="465">
        <f>'Customs Invoice'!P124</f>
        <v>0</v>
      </c>
      <c r="M131" s="152"/>
      <c r="N131" s="153"/>
    </row>
    <row r="132" spans="1:14" s="135" customFormat="1" ht="18" hidden="1" customHeight="1">
      <c r="A132" s="175"/>
      <c r="B132" s="448"/>
      <c r="C132" s="450"/>
      <c r="D132" s="380" t="e">
        <f>VLOOKUP(F132,Sheet2!$A$2:$D$31,4,0)</f>
        <v>#N/A</v>
      </c>
      <c r="E132" s="450"/>
      <c r="F132" s="188" t="str">
        <f>F131&amp;1</f>
        <v>01</v>
      </c>
      <c r="G132" s="462"/>
      <c r="H132" s="463"/>
      <c r="I132" s="464"/>
      <c r="J132" s="464"/>
      <c r="K132" s="478"/>
      <c r="L132" s="465"/>
      <c r="M132" s="152"/>
      <c r="N132" s="153"/>
    </row>
    <row r="133" spans="1:14" s="135" customFormat="1" ht="18" hidden="1" customHeight="1">
      <c r="A133" s="175"/>
      <c r="B133" s="448">
        <f>'Customs Invoice'!B125</f>
        <v>0</v>
      </c>
      <c r="C133" s="449" t="e">
        <f>'Customs Invoice'!C125</f>
        <v>#N/A</v>
      </c>
      <c r="D133" s="380" t="e">
        <f>VLOOKUP(F133,Sheet2!$A$2:$D$31,4,0)</f>
        <v>#N/A</v>
      </c>
      <c r="E133" s="450" t="e">
        <f>'Customs Invoice'!E125</f>
        <v>#N/A</v>
      </c>
      <c r="F133" s="188">
        <f>'Customs Invoice'!F125</f>
        <v>0</v>
      </c>
      <c r="G133" s="462">
        <f>'Customs Invoice'!G125</f>
        <v>0</v>
      </c>
      <c r="H133" s="463" t="e">
        <f>'Customs Invoice'!H125</f>
        <v>#N/A</v>
      </c>
      <c r="I133" s="464">
        <f>'Customs Invoice'!I125</f>
        <v>0</v>
      </c>
      <c r="J133" s="464">
        <f>'Customs Invoice'!J125</f>
        <v>0</v>
      </c>
      <c r="K133" s="478" t="e">
        <f t="shared" ref="K133" si="38">L133/G133</f>
        <v>#DIV/0!</v>
      </c>
      <c r="L133" s="465">
        <f>'Customs Invoice'!P125</f>
        <v>0</v>
      </c>
      <c r="M133" s="152"/>
      <c r="N133" s="153"/>
    </row>
    <row r="134" spans="1:14" s="135" customFormat="1" ht="18" hidden="1" customHeight="1">
      <c r="A134" s="175"/>
      <c r="B134" s="448"/>
      <c r="C134" s="450"/>
      <c r="D134" s="380" t="e">
        <f>VLOOKUP(F134,Sheet2!$A$2:$D$31,4,0)</f>
        <v>#N/A</v>
      </c>
      <c r="E134" s="450"/>
      <c r="F134" s="188" t="str">
        <f>F133&amp;1</f>
        <v>01</v>
      </c>
      <c r="G134" s="462"/>
      <c r="H134" s="463"/>
      <c r="I134" s="464"/>
      <c r="J134" s="464"/>
      <c r="K134" s="478"/>
      <c r="L134" s="465"/>
      <c r="M134" s="152"/>
      <c r="N134" s="153"/>
    </row>
    <row r="135" spans="1:14" s="135" customFormat="1" ht="18" hidden="1" customHeight="1">
      <c r="A135" s="175"/>
      <c r="B135" s="448">
        <f>'Customs Invoice'!B126</f>
        <v>0</v>
      </c>
      <c r="C135" s="449" t="e">
        <f>'Customs Invoice'!C126</f>
        <v>#N/A</v>
      </c>
      <c r="D135" s="380" t="e">
        <f>VLOOKUP(F135,Sheet2!$A$2:$D$31,4,0)</f>
        <v>#N/A</v>
      </c>
      <c r="E135" s="450" t="e">
        <f>'Customs Invoice'!E126</f>
        <v>#N/A</v>
      </c>
      <c r="F135" s="188">
        <f>'Customs Invoice'!F126</f>
        <v>0</v>
      </c>
      <c r="G135" s="462">
        <f>'Customs Invoice'!G126</f>
        <v>0</v>
      </c>
      <c r="H135" s="463" t="e">
        <f>'Customs Invoice'!H126</f>
        <v>#N/A</v>
      </c>
      <c r="I135" s="464">
        <f>'Customs Invoice'!I126</f>
        <v>0</v>
      </c>
      <c r="J135" s="464">
        <f>'Customs Invoice'!J126</f>
        <v>0</v>
      </c>
      <c r="K135" s="478" t="e">
        <f t="shared" ref="K135" si="39">L135/G135</f>
        <v>#DIV/0!</v>
      </c>
      <c r="L135" s="465">
        <f>'Customs Invoice'!P126</f>
        <v>0</v>
      </c>
      <c r="M135" s="152"/>
      <c r="N135" s="153"/>
    </row>
    <row r="136" spans="1:14" s="135" customFormat="1" ht="18" hidden="1" customHeight="1" thickBot="1">
      <c r="A136" s="175"/>
      <c r="B136" s="470"/>
      <c r="C136" s="450"/>
      <c r="D136" s="381" t="e">
        <f>VLOOKUP(F136,Sheet2!$A$2:$D$31,4,0)</f>
        <v>#N/A</v>
      </c>
      <c r="E136" s="471"/>
      <c r="F136" s="190" t="str">
        <f>F135&amp;1</f>
        <v>01</v>
      </c>
      <c r="G136" s="472"/>
      <c r="H136" s="473"/>
      <c r="I136" s="466"/>
      <c r="J136" s="466"/>
      <c r="K136" s="479"/>
      <c r="L136" s="467"/>
      <c r="M136" s="152"/>
      <c r="N136" s="153"/>
    </row>
    <row r="137" spans="1:14" s="135" customFormat="1" ht="30" hidden="1" customHeight="1" thickBot="1">
      <c r="A137" s="175"/>
      <c r="B137" s="468" t="s">
        <v>38</v>
      </c>
      <c r="C137" s="469"/>
      <c r="D137" s="469"/>
      <c r="E137" s="469"/>
      <c r="F137" s="191"/>
      <c r="G137" s="480">
        <f>SUM(G117:G136)</f>
        <v>0</v>
      </c>
      <c r="H137" s="481"/>
      <c r="I137" s="192">
        <f>SUM(I117:I136)</f>
        <v>0</v>
      </c>
      <c r="J137" s="192">
        <f>SUM(J117:J136)</f>
        <v>0</v>
      </c>
      <c r="K137" s="203"/>
      <c r="L137" s="193">
        <f>SUM(L117:L136)</f>
        <v>0</v>
      </c>
      <c r="M137" s="152"/>
      <c r="N137" s="153"/>
    </row>
    <row r="138" spans="1:14" s="135" customFormat="1" ht="29.5" customHeight="1">
      <c r="A138" s="175"/>
      <c r="B138" s="119"/>
      <c r="C138" s="173"/>
      <c r="D138" s="119"/>
      <c r="E138" s="118"/>
      <c r="F138" s="118"/>
      <c r="G138" s="120"/>
      <c r="H138" s="194"/>
      <c r="I138" s="195"/>
      <c r="J138" s="195"/>
      <c r="K138" s="204"/>
      <c r="L138" s="121"/>
      <c r="M138" s="152"/>
      <c r="N138" s="153"/>
    </row>
    <row r="139" spans="1:14" s="135" customFormat="1" ht="16" thickBot="1">
      <c r="A139" s="175"/>
      <c r="B139" s="119"/>
      <c r="C139" s="173"/>
      <c r="D139" s="119"/>
      <c r="E139" s="118"/>
      <c r="F139" s="118"/>
      <c r="G139" s="120"/>
      <c r="H139" s="194"/>
      <c r="I139" s="195"/>
      <c r="J139" s="195"/>
      <c r="K139" s="121"/>
      <c r="L139" s="121"/>
      <c r="M139" s="152"/>
      <c r="N139" s="153"/>
    </row>
    <row r="140" spans="1:14" s="135" customFormat="1" ht="40" customHeight="1" thickBot="1">
      <c r="A140" s="175"/>
      <c r="B140" s="484" t="s">
        <v>47</v>
      </c>
      <c r="C140" s="485"/>
      <c r="D140" s="485"/>
      <c r="E140" s="485"/>
      <c r="F140" s="485"/>
      <c r="G140" s="485"/>
      <c r="H140" s="485"/>
      <c r="I140" s="485"/>
      <c r="J140" s="485"/>
      <c r="K140" s="486"/>
      <c r="L140" s="152"/>
      <c r="M140" s="153"/>
    </row>
    <row r="141" spans="1:14" s="135" customFormat="1" ht="41" customHeight="1" thickBot="1">
      <c r="A141" s="175"/>
      <c r="B141" s="200" t="s">
        <v>27</v>
      </c>
      <c r="C141" s="382" t="s">
        <v>131</v>
      </c>
      <c r="D141" s="382" t="s">
        <v>132</v>
      </c>
      <c r="E141" s="383" t="s">
        <v>133</v>
      </c>
      <c r="F141" s="383" t="s">
        <v>31</v>
      </c>
      <c r="G141" s="482" t="s">
        <v>134</v>
      </c>
      <c r="H141" s="483"/>
      <c r="I141" s="383" t="s">
        <v>33</v>
      </c>
      <c r="J141" s="201" t="s">
        <v>34</v>
      </c>
      <c r="K141" s="202" t="s">
        <v>170</v>
      </c>
      <c r="L141" s="152"/>
      <c r="M141" s="153"/>
    </row>
    <row r="142" spans="1:14" s="135" customFormat="1" ht="16" customHeight="1">
      <c r="A142" s="175"/>
      <c r="B142" s="447">
        <f>IFERROR(B141+1,1)</f>
        <v>1</v>
      </c>
      <c r="C142" s="449" t="str" cm="1">
        <f t="array" ref="C142">_xlfn.LET(_xlpm.DataBox, _xlfn.TOCOL(_xlfn.VSTACK($C$21:$C$40, $C$45:$C$64, $C$69:$C$88, $C$93:$C$112, $C$117:$C$136), 3), _xlpm.CleanList, _xlfn.UNIQUE(_xlfn._xlws.FILTER(_xlpm.DataBox, _xlpm.DataBox&lt;&gt;0)), _xlpm.Urutan, ROUNDUP(ROWS($C$142:C142)/2, 0), IFERROR(INDEX(_xlpm.CleanList, _xlpm.Urutan), ""))</f>
        <v/>
      </c>
      <c r="D142" s="379" t="str">
        <f>IF($C142="", "", VLOOKUP($C142, $C$21:$D$136, 2, FALSE))</f>
        <v/>
      </c>
      <c r="E142" s="449" t="str">
        <f>IF($C142="", "", VLOOKUP($C142, $C$21:$E$136, 3, FALSE))</f>
        <v/>
      </c>
      <c r="F142" s="187" t="str">
        <f>IF($C142="", "", INDEX($F$21:$F$136, MATCH($C142, $C$21:$C$136, 0)))</f>
        <v/>
      </c>
      <c r="G142" s="453" t="str">
        <f>IF($C142="", "", SUMIF($C$21:$C$136, $C142, G$21:G$136))</f>
        <v/>
      </c>
      <c r="H142" s="487" t="e">
        <f>VLOOKUP(F142,Sheet2!$A$2:$D$31,3,0)</f>
        <v>#N/A</v>
      </c>
      <c r="I142" s="457" t="str">
        <f>IF($C142="", "", SUMIF($C$21:$C$136, $C142, I$21:I$136))</f>
        <v/>
      </c>
      <c r="J142" s="457" t="str">
        <f>IF($C142="", "", SUMIF($C$21:$C$136, $C142, J$21:J$136))</f>
        <v/>
      </c>
      <c r="K142" s="459" t="str">
        <f>IF($C142="", "", SUMIF($C$21:$C$136, $C142, K$21:K$136))</f>
        <v/>
      </c>
      <c r="L142" s="152"/>
      <c r="M142" s="153"/>
    </row>
    <row r="143" spans="1:14" s="135" customFormat="1" ht="16" customHeight="1">
      <c r="A143" s="175"/>
      <c r="B143" s="448"/>
      <c r="C143" s="450"/>
      <c r="D143" s="380" t="str" cm="1">
        <f t="array" ref="D143">IF($C142="", "", INDEX($D$21:$D$136, MATCH($C142, $C$21:$C$136, 0) + 1))</f>
        <v/>
      </c>
      <c r="E143" s="450"/>
      <c r="F143" s="188" t="str" cm="1">
        <f t="array" ref="F143">IF($C142="", "", INDEX($F$21:$F$136, MATCH($C142, $C$21:$C$136, 0) + 1))</f>
        <v/>
      </c>
      <c r="G143" s="462"/>
      <c r="H143" s="463" t="e">
        <f>VLOOKUP(F143,Sheet2!$A$2:$D$31,3,0)</f>
        <v>#N/A</v>
      </c>
      <c r="I143" s="464"/>
      <c r="J143" s="464"/>
      <c r="K143" s="465"/>
      <c r="L143" s="152"/>
      <c r="M143" s="153"/>
    </row>
    <row r="144" spans="1:14" s="135" customFormat="1" ht="16" customHeight="1">
      <c r="A144" s="175"/>
      <c r="B144" s="448">
        <f>B142+1</f>
        <v>2</v>
      </c>
      <c r="C144" s="450" t="str" cm="1">
        <f t="array" ref="C144">_xlfn.LET(_xlpm.DataBox, _xlfn.TOCOL(_xlfn.VSTACK($C$21:$C$40, $C$45:$C$64, $C$69:$C$88, $C$93:$C$112, $C$117:$C$136), 3), _xlpm.CleanList, _xlfn.UNIQUE(_xlfn._xlws.FILTER(_xlpm.DataBox, _xlpm.DataBox&lt;&gt;0)), _xlpm.Urutan, ROUNDUP(ROWS($C$142:C144)/2, 0), IFERROR(INDEX(_xlpm.CleanList, _xlpm.Urutan), ""))</f>
        <v/>
      </c>
      <c r="D144" s="380" t="str">
        <f t="shared" ref="D144" si="40">IF($C144="", "", VLOOKUP($C144, $C$21:$D$136, 2, FALSE))</f>
        <v/>
      </c>
      <c r="E144" s="450" t="str">
        <f t="shared" ref="E144" si="41">IF($C144="", "", VLOOKUP($C144, $C$21:$E$136, 3, FALSE))</f>
        <v/>
      </c>
      <c r="F144" s="188" t="str">
        <f t="shared" ref="F144" si="42">IF($C144="", "", INDEX($F$21:$F$136, MATCH($C144, $C$21:$C$136, 0)))</f>
        <v/>
      </c>
      <c r="G144" s="462" t="str">
        <f t="shared" ref="G144" si="43">IF($C144="", "", SUMIF($C$21:$C$136, $C144, G$21:G$136))</f>
        <v/>
      </c>
      <c r="H144" s="463" t="e">
        <f>VLOOKUP(F144,Sheet2!$A$2:$D$31,3,0)</f>
        <v>#N/A</v>
      </c>
      <c r="I144" s="464" t="str">
        <f t="shared" ref="I144:J144" si="44">IF($C144="", "", SUMIF($C$21:$C$136, $C144, I$21:I$136))</f>
        <v/>
      </c>
      <c r="J144" s="464" t="str">
        <f t="shared" si="44"/>
        <v/>
      </c>
      <c r="K144" s="459" t="str">
        <f>IF($C144="", "", SUMIF($C$21:$C$136, $C144, K$21:K$136))</f>
        <v/>
      </c>
      <c r="L144" s="152"/>
      <c r="M144" s="153"/>
    </row>
    <row r="145" spans="1:13" s="135" customFormat="1" ht="16" customHeight="1">
      <c r="A145" s="175"/>
      <c r="B145" s="448"/>
      <c r="C145" s="450"/>
      <c r="D145" s="380" t="str" cm="1">
        <f t="array" ref="D145">IF($C144="", "", INDEX($D$21:$D$136, MATCH($C144, $C$21:$C$136, 0) + 1))</f>
        <v/>
      </c>
      <c r="E145" s="450"/>
      <c r="F145" s="188" t="str" cm="1">
        <f t="array" ref="F145">IF($C144="", "", INDEX($F$21:$F$136, MATCH($C144, $C$21:$C$136, 0) + 1))</f>
        <v/>
      </c>
      <c r="G145" s="462"/>
      <c r="H145" s="463" t="e">
        <f>VLOOKUP(F145,Sheet2!$A$2:$D$31,3,0)</f>
        <v>#N/A</v>
      </c>
      <c r="I145" s="464"/>
      <c r="J145" s="464"/>
      <c r="K145" s="465"/>
      <c r="L145" s="152"/>
      <c r="M145" s="153"/>
    </row>
    <row r="146" spans="1:13" s="135" customFormat="1" ht="16" customHeight="1">
      <c r="A146" s="175"/>
      <c r="B146" s="448">
        <f>B144+1</f>
        <v>3</v>
      </c>
      <c r="C146" s="450" t="str" cm="1">
        <f t="array" ref="C146">_xlfn.LET(_xlpm.DataBox, _xlfn.TOCOL(_xlfn.VSTACK($C$21:$C$40, $C$45:$C$64, $C$69:$C$88, $C$93:$C$112, $C$117:$C$136), 3), _xlpm.CleanList, _xlfn.UNIQUE(_xlfn._xlws.FILTER(_xlpm.DataBox, _xlpm.DataBox&lt;&gt;0)), _xlpm.Urutan, ROUNDUP(ROWS($C$142:C146)/2, 0), IFERROR(INDEX(_xlpm.CleanList, _xlpm.Urutan), ""))</f>
        <v/>
      </c>
      <c r="D146" s="380" t="str">
        <f t="shared" ref="D146" si="45">IF($C146="", "", VLOOKUP($C146, $C$21:$D$136, 2, FALSE))</f>
        <v/>
      </c>
      <c r="E146" s="450" t="str">
        <f t="shared" ref="E146" si="46">IF($C146="", "", VLOOKUP($C146, $C$21:$E$136, 3, FALSE))</f>
        <v/>
      </c>
      <c r="F146" s="188" t="str">
        <f t="shared" ref="F146" si="47">IF($C146="", "", INDEX($F$21:$F$136, MATCH($C146, $C$21:$C$136, 0)))</f>
        <v/>
      </c>
      <c r="G146" s="462" t="str">
        <f t="shared" ref="G146" si="48">IF($C146="", "", SUMIF($C$21:$C$136, $C146, G$21:G$136))</f>
        <v/>
      </c>
      <c r="H146" s="463" t="e">
        <f>VLOOKUP(F146,Sheet2!$A$2:$D$31,3,0)</f>
        <v>#N/A</v>
      </c>
      <c r="I146" s="464" t="str">
        <f t="shared" ref="I146:J146" si="49">IF($C146="", "", SUMIF($C$21:$C$136, $C146, I$21:I$136))</f>
        <v/>
      </c>
      <c r="J146" s="464" t="str">
        <f t="shared" si="49"/>
        <v/>
      </c>
      <c r="K146" s="459" t="str">
        <f>IF($C146="", "", SUMIF($C$21:$C$136, $C146, K$21:K$136))</f>
        <v/>
      </c>
      <c r="L146" s="152"/>
      <c r="M146" s="153"/>
    </row>
    <row r="147" spans="1:13" s="135" customFormat="1" ht="16" customHeight="1">
      <c r="A147" s="175"/>
      <c r="B147" s="448"/>
      <c r="C147" s="450"/>
      <c r="D147" s="380" t="str" cm="1">
        <f t="array" ref="D147">IF($C146="", "", INDEX($D$21:$D$136, MATCH($C146, $C$21:$C$136, 0) + 1))</f>
        <v/>
      </c>
      <c r="E147" s="450"/>
      <c r="F147" s="188" t="str" cm="1">
        <f t="array" ref="F147">IF($C146="", "", INDEX($F$21:$F$136, MATCH($C146, $C$21:$C$136, 0) + 1))</f>
        <v/>
      </c>
      <c r="G147" s="462"/>
      <c r="H147" s="463" t="e">
        <f>VLOOKUP(F147,Sheet2!$A$2:$D$31,3,0)</f>
        <v>#N/A</v>
      </c>
      <c r="I147" s="464"/>
      <c r="J147" s="464"/>
      <c r="K147" s="465"/>
      <c r="L147" s="152"/>
      <c r="M147" s="153"/>
    </row>
    <row r="148" spans="1:13" s="135" customFormat="1" ht="16" customHeight="1">
      <c r="A148" s="175"/>
      <c r="B148" s="448">
        <f>B146+1</f>
        <v>4</v>
      </c>
      <c r="C148" s="450" t="str" cm="1">
        <f t="array" ref="C148">_xlfn.LET(_xlpm.DataBox, _xlfn.TOCOL(_xlfn.VSTACK($C$21:$C$40, $C$45:$C$64, $C$69:$C$88, $C$93:$C$112, $C$117:$C$136), 3), _xlpm.CleanList, _xlfn.UNIQUE(_xlfn._xlws.FILTER(_xlpm.DataBox, _xlpm.DataBox&lt;&gt;0)), _xlpm.Urutan, ROUNDUP(ROWS($C$142:C148)/2, 0), IFERROR(INDEX(_xlpm.CleanList, _xlpm.Urutan), ""))</f>
        <v/>
      </c>
      <c r="D148" s="380" t="str">
        <f t="shared" ref="D148" si="50">IF($C148="", "", VLOOKUP($C148, $C$21:$D$136, 2, FALSE))</f>
        <v/>
      </c>
      <c r="E148" s="450" t="str">
        <f t="shared" ref="E148" si="51">IF($C148="", "", VLOOKUP($C148, $C$21:$E$136, 3, FALSE))</f>
        <v/>
      </c>
      <c r="F148" s="188" t="str">
        <f t="shared" ref="F148" si="52">IF($C148="", "", INDEX($F$21:$F$136, MATCH($C148, $C$21:$C$136, 0)))</f>
        <v/>
      </c>
      <c r="G148" s="462" t="str">
        <f t="shared" ref="G148" si="53">IF($C148="", "", SUMIF($C$21:$C$136, $C148, G$21:G$136))</f>
        <v/>
      </c>
      <c r="H148" s="463" t="e">
        <f>VLOOKUP(F148,Sheet2!$A$2:$D$31,3,0)</f>
        <v>#N/A</v>
      </c>
      <c r="I148" s="464" t="str">
        <f t="shared" ref="I148:J148" si="54">IF($C148="", "", SUMIF($C$21:$C$136, $C148, I$21:I$136))</f>
        <v/>
      </c>
      <c r="J148" s="464" t="str">
        <f t="shared" si="54"/>
        <v/>
      </c>
      <c r="K148" s="459" t="str">
        <f>IF($C148="", "", SUMIF($C$21:$C$136, $C148, K$21:K$136))</f>
        <v/>
      </c>
      <c r="L148" s="152"/>
      <c r="M148" s="153"/>
    </row>
    <row r="149" spans="1:13" s="135" customFormat="1" ht="16" customHeight="1">
      <c r="A149" s="175"/>
      <c r="B149" s="448"/>
      <c r="C149" s="450"/>
      <c r="D149" s="380" t="str" cm="1">
        <f t="array" ref="D149">IF($C148="", "", INDEX($D$21:$D$136, MATCH($C148, $C$21:$C$136, 0) + 1))</f>
        <v/>
      </c>
      <c r="E149" s="450"/>
      <c r="F149" s="188" t="str" cm="1">
        <f t="array" ref="F149">IF($C148="", "", INDEX($F$21:$F$136, MATCH($C148, $C$21:$C$136, 0) + 1))</f>
        <v/>
      </c>
      <c r="G149" s="462"/>
      <c r="H149" s="463" t="e">
        <f>VLOOKUP(F149,Sheet2!$A$2:$D$31,3,0)</f>
        <v>#N/A</v>
      </c>
      <c r="I149" s="464"/>
      <c r="J149" s="464"/>
      <c r="K149" s="465"/>
      <c r="L149" s="152"/>
      <c r="M149" s="153"/>
    </row>
    <row r="150" spans="1:13" s="135" customFormat="1" ht="16" customHeight="1">
      <c r="A150" s="175"/>
      <c r="B150" s="448">
        <f>B148+1</f>
        <v>5</v>
      </c>
      <c r="C150" s="450" t="str" cm="1">
        <f t="array" ref="C150">_xlfn.LET(_xlpm.DataBox, _xlfn.TOCOL(_xlfn.VSTACK($C$21:$C$40, $C$45:$C$64, $C$69:$C$88, $C$93:$C$112, $C$117:$C$136), 3), _xlpm.CleanList, _xlfn.UNIQUE(_xlfn._xlws.FILTER(_xlpm.DataBox, _xlpm.DataBox&lt;&gt;0)), _xlpm.Urutan, ROUNDUP(ROWS($C$142:C150)/2, 0), IFERROR(INDEX(_xlpm.CleanList, _xlpm.Urutan), ""))</f>
        <v/>
      </c>
      <c r="D150" s="199" t="str">
        <f t="shared" ref="D150" si="55">IF($C150="", "", VLOOKUP($C150, $C$21:$D$136, 2, FALSE))</f>
        <v/>
      </c>
      <c r="E150" s="450" t="str">
        <f t="shared" ref="E150" si="56">IF($C150="", "", VLOOKUP($C150, $C$21:$E$136, 3, FALSE))</f>
        <v/>
      </c>
      <c r="F150" s="188" t="str">
        <f t="shared" ref="F150" si="57">IF($C150="", "", INDEX($F$21:$F$136, MATCH($C150, $C$21:$C$136, 0)))</f>
        <v/>
      </c>
      <c r="G150" s="462" t="str">
        <f t="shared" ref="G150" si="58">IF($C150="", "", SUMIF($C$21:$C$136, $C150, G$21:G$136))</f>
        <v/>
      </c>
      <c r="H150" s="463" t="e">
        <f>VLOOKUP(F150,Sheet2!$A$2:$D$31,3,0)</f>
        <v>#N/A</v>
      </c>
      <c r="I150" s="464" t="str">
        <f t="shared" ref="I150:J150" si="59">IF($C150="", "", SUMIF($C$21:$C$136, $C150, I$21:I$136))</f>
        <v/>
      </c>
      <c r="J150" s="464" t="str">
        <f t="shared" si="59"/>
        <v/>
      </c>
      <c r="K150" s="459" t="str">
        <f>IF($C150="", "", SUMIF($C$21:$C$136, $C150, K$21:K$136))</f>
        <v/>
      </c>
      <c r="L150" s="152"/>
      <c r="M150" s="153"/>
    </row>
    <row r="151" spans="1:13" s="135" customFormat="1" ht="16" customHeight="1">
      <c r="A151" s="175"/>
      <c r="B151" s="448"/>
      <c r="C151" s="450"/>
      <c r="D151" s="380" t="str" cm="1">
        <f t="array" ref="D151">IF($C150="", "", INDEX($D$21:$D$136, MATCH($C150, $C$21:$C$136, 0) + 1))</f>
        <v/>
      </c>
      <c r="E151" s="450"/>
      <c r="F151" s="188" t="str" cm="1">
        <f t="array" ref="F151">IF($C150="", "", INDEX($F$21:$F$136, MATCH($C150, $C$21:$C$136, 0) + 1))</f>
        <v/>
      </c>
      <c r="G151" s="462"/>
      <c r="H151" s="463" t="e">
        <f>VLOOKUP(F151,Sheet2!$A$2:$D$31,3,0)</f>
        <v>#N/A</v>
      </c>
      <c r="I151" s="464"/>
      <c r="J151" s="464"/>
      <c r="K151" s="465"/>
      <c r="L151" s="152"/>
      <c r="M151" s="153"/>
    </row>
    <row r="152" spans="1:13" s="135" customFormat="1" ht="16" customHeight="1">
      <c r="A152" s="175"/>
      <c r="B152" s="448">
        <f>B150+1</f>
        <v>6</v>
      </c>
      <c r="C152" s="450" t="str" cm="1">
        <f t="array" ref="C152">_xlfn.LET(_xlpm.DataBox, _xlfn.TOCOL(_xlfn.VSTACK($C$21:$C$40, $C$45:$C$64, $C$69:$C$88, $C$93:$C$112, $C$117:$C$136), 3), _xlpm.CleanList, _xlfn.UNIQUE(_xlfn._xlws.FILTER(_xlpm.DataBox, _xlpm.DataBox&lt;&gt;0)), _xlpm.Urutan, ROUNDUP(ROWS($C$142:C152)/2, 0), IFERROR(INDEX(_xlpm.CleanList, _xlpm.Urutan), ""))</f>
        <v/>
      </c>
      <c r="D152" s="380" t="str">
        <f t="shared" ref="D152" si="60">IF($C152="", "", VLOOKUP($C152, $C$21:$D$136, 2, FALSE))</f>
        <v/>
      </c>
      <c r="E152" s="450" t="str">
        <f t="shared" ref="E152" si="61">IF($C152="", "", VLOOKUP($C152, $C$21:$E$136, 3, FALSE))</f>
        <v/>
      </c>
      <c r="F152" s="188" t="str">
        <f t="shared" ref="F152" si="62">IF($C152="", "", INDEX($F$21:$F$136, MATCH($C152, $C$21:$C$136, 0)))</f>
        <v/>
      </c>
      <c r="G152" s="462" t="str">
        <f t="shared" ref="G152" si="63">IF($C152="", "", SUMIF($C$21:$C$136, $C152, G$21:G$136))</f>
        <v/>
      </c>
      <c r="H152" s="463" t="e">
        <f>VLOOKUP(F152,Sheet2!$A$2:$D$31,3,0)</f>
        <v>#N/A</v>
      </c>
      <c r="I152" s="464" t="str">
        <f t="shared" ref="I152:J152" si="64">IF($C152="", "", SUMIF($C$21:$C$136, $C152, I$21:I$136))</f>
        <v/>
      </c>
      <c r="J152" s="464" t="str">
        <f t="shared" si="64"/>
        <v/>
      </c>
      <c r="K152" s="459" t="str">
        <f>IF($C152="", "", SUMIF($C$21:$C$136, $C152, K$21:K$136))</f>
        <v/>
      </c>
      <c r="L152" s="152"/>
      <c r="M152" s="153"/>
    </row>
    <row r="153" spans="1:13" s="135" customFormat="1" ht="16" customHeight="1">
      <c r="A153" s="175"/>
      <c r="B153" s="448"/>
      <c r="C153" s="450"/>
      <c r="D153" s="380" t="str" cm="1">
        <f t="array" ref="D153">IF($C152="", "", INDEX($D$21:$D$136, MATCH($C152, $C$21:$C$136, 0) + 1))</f>
        <v/>
      </c>
      <c r="E153" s="450"/>
      <c r="F153" s="188" t="str" cm="1">
        <f t="array" ref="F153">IF($C152="", "", INDEX($F$21:$F$136, MATCH($C152, $C$21:$C$136, 0) + 1))</f>
        <v/>
      </c>
      <c r="G153" s="462"/>
      <c r="H153" s="463" t="e">
        <f>VLOOKUP(F153,Sheet2!$A$2:$D$31,3,0)</f>
        <v>#N/A</v>
      </c>
      <c r="I153" s="464"/>
      <c r="J153" s="464"/>
      <c r="K153" s="465"/>
      <c r="L153" s="152"/>
      <c r="M153" s="153"/>
    </row>
    <row r="154" spans="1:13" s="135" customFormat="1" ht="16" customHeight="1">
      <c r="A154" s="175"/>
      <c r="B154" s="448">
        <f>B152+1</f>
        <v>7</v>
      </c>
      <c r="C154" s="450" t="str" cm="1">
        <f t="array" ref="C154">_xlfn.LET(_xlpm.DataBox, _xlfn.TOCOL(_xlfn.VSTACK($C$21:$C$40, $C$45:$C$64, $C$69:$C$88, $C$93:$C$112, $C$117:$C$136), 3), _xlpm.CleanList, _xlfn.UNIQUE(_xlfn._xlws.FILTER(_xlpm.DataBox, _xlpm.DataBox&lt;&gt;0)), _xlpm.Urutan, ROUNDUP(ROWS($C$142:C154)/2, 0), IFERROR(INDEX(_xlpm.CleanList, _xlpm.Urutan), ""))</f>
        <v/>
      </c>
      <c r="D154" s="380" t="str">
        <f t="shared" ref="D154" si="65">IF($C154="", "", VLOOKUP($C154, $C$21:$D$136, 2, FALSE))</f>
        <v/>
      </c>
      <c r="E154" s="450" t="str">
        <f t="shared" ref="E154" si="66">IF($C154="", "", VLOOKUP($C154, $C$21:$E$136, 3, FALSE))</f>
        <v/>
      </c>
      <c r="F154" s="188" t="str">
        <f t="shared" ref="F154" si="67">IF($C154="", "", INDEX($F$21:$F$136, MATCH($C154, $C$21:$C$136, 0)))</f>
        <v/>
      </c>
      <c r="G154" s="462" t="str">
        <f t="shared" ref="G154" si="68">IF($C154="", "", SUMIF($C$21:$C$136, $C154, G$21:G$136))</f>
        <v/>
      </c>
      <c r="H154" s="463" t="e">
        <f>VLOOKUP(F154,Sheet2!$A$2:$D$31,3,0)</f>
        <v>#N/A</v>
      </c>
      <c r="I154" s="464" t="str">
        <f t="shared" ref="I154:J154" si="69">IF($C154="", "", SUMIF($C$21:$C$136, $C154, I$21:I$136))</f>
        <v/>
      </c>
      <c r="J154" s="464" t="str">
        <f t="shared" si="69"/>
        <v/>
      </c>
      <c r="K154" s="459" t="str">
        <f>IF($C154="", "", SUMIF($C$21:$C$136, $C154, K$21:K$136))</f>
        <v/>
      </c>
      <c r="L154" s="152"/>
      <c r="M154" s="153"/>
    </row>
    <row r="155" spans="1:13" s="135" customFormat="1" ht="16" customHeight="1">
      <c r="A155" s="175"/>
      <c r="B155" s="448"/>
      <c r="C155" s="450"/>
      <c r="D155" s="380" t="str" cm="1">
        <f t="array" ref="D155">IF($C154="", "", INDEX($D$21:$D$136, MATCH($C154, $C$21:$C$136, 0) + 1))</f>
        <v/>
      </c>
      <c r="E155" s="450"/>
      <c r="F155" s="188" t="str" cm="1">
        <f t="array" ref="F155">IF($C154="", "", INDEX($F$21:$F$136, MATCH($C154, $C$21:$C$136, 0) + 1))</f>
        <v/>
      </c>
      <c r="G155" s="462"/>
      <c r="H155" s="463" t="e">
        <f>VLOOKUP(F155,Sheet2!$A$2:$D$31,3,0)</f>
        <v>#N/A</v>
      </c>
      <c r="I155" s="464"/>
      <c r="J155" s="464"/>
      <c r="K155" s="465"/>
      <c r="L155" s="152"/>
      <c r="M155" s="153"/>
    </row>
    <row r="156" spans="1:13" s="135" customFormat="1" ht="16" customHeight="1">
      <c r="A156" s="175"/>
      <c r="B156" s="448">
        <f>B154+1</f>
        <v>8</v>
      </c>
      <c r="C156" s="450" t="str" cm="1">
        <f t="array" ref="C156">_xlfn.LET(_xlpm.DataBox, _xlfn.TOCOL(_xlfn.VSTACK($C$21:$C$40, $C$45:$C$64, $C$69:$C$88, $C$93:$C$112, $C$117:$C$136), 3), _xlpm.CleanList, _xlfn.UNIQUE(_xlfn._xlws.FILTER(_xlpm.DataBox, _xlpm.DataBox&lt;&gt;0)), _xlpm.Urutan, ROUNDUP(ROWS($C$142:C156)/2, 0), IFERROR(INDEX(_xlpm.CleanList, _xlpm.Urutan), ""))</f>
        <v/>
      </c>
      <c r="D156" s="380" t="str">
        <f t="shared" ref="D156" si="70">IF($C156="", "", VLOOKUP($C156, $C$21:$D$136, 2, FALSE))</f>
        <v/>
      </c>
      <c r="E156" s="450" t="str">
        <f t="shared" ref="E156" si="71">IF($C156="", "", VLOOKUP($C156, $C$21:$E$136, 3, FALSE))</f>
        <v/>
      </c>
      <c r="F156" s="188" t="str">
        <f t="shared" ref="F156" si="72">IF($C156="", "", INDEX($F$21:$F$136, MATCH($C156, $C$21:$C$136, 0)))</f>
        <v/>
      </c>
      <c r="G156" s="462" t="str">
        <f t="shared" ref="G156" si="73">IF($C156="", "", SUMIF($C$21:$C$136, $C156, G$21:G$136))</f>
        <v/>
      </c>
      <c r="H156" s="463" t="e">
        <f>VLOOKUP(F156,Sheet2!$A$2:$D$31,3,0)</f>
        <v>#N/A</v>
      </c>
      <c r="I156" s="464" t="str">
        <f t="shared" ref="I156:J156" si="74">IF($C156="", "", SUMIF($C$21:$C$136, $C156, I$21:I$136))</f>
        <v/>
      </c>
      <c r="J156" s="464" t="str">
        <f t="shared" si="74"/>
        <v/>
      </c>
      <c r="K156" s="459" t="str">
        <f>IF($C156="", "", SUMIF($C$21:$C$136, $C156, K$21:K$136))</f>
        <v/>
      </c>
      <c r="L156" s="152"/>
      <c r="M156" s="153"/>
    </row>
    <row r="157" spans="1:13" s="135" customFormat="1" ht="16" customHeight="1">
      <c r="A157" s="175"/>
      <c r="B157" s="448"/>
      <c r="C157" s="450"/>
      <c r="D157" s="380" t="str" cm="1">
        <f t="array" ref="D157">IF($C156="", "", INDEX($D$21:$D$136, MATCH($C156, $C$21:$C$136, 0) + 1))</f>
        <v/>
      </c>
      <c r="E157" s="450"/>
      <c r="F157" s="188" t="str" cm="1">
        <f t="array" ref="F157">IF($C156="", "", INDEX($F$21:$F$136, MATCH($C156, $C$21:$C$136, 0) + 1))</f>
        <v/>
      </c>
      <c r="G157" s="462"/>
      <c r="H157" s="463" t="e">
        <f>VLOOKUP(F157,Sheet2!$A$2:$D$31,3,0)</f>
        <v>#N/A</v>
      </c>
      <c r="I157" s="464"/>
      <c r="J157" s="464"/>
      <c r="K157" s="465"/>
      <c r="L157" s="152"/>
      <c r="M157" s="153"/>
    </row>
    <row r="158" spans="1:13" s="135" customFormat="1" ht="16" customHeight="1">
      <c r="A158" s="175"/>
      <c r="B158" s="448">
        <f>B156+1</f>
        <v>9</v>
      </c>
      <c r="C158" s="450" t="str" cm="1">
        <f t="array" ref="C158">_xlfn.LET(_xlpm.DataBox, _xlfn.TOCOL(_xlfn.VSTACK($C$21:$C$40, $C$45:$C$64, $C$69:$C$88, $C$93:$C$112, $C$117:$C$136), 3), _xlpm.CleanList, _xlfn.UNIQUE(_xlfn._xlws.FILTER(_xlpm.DataBox, _xlpm.DataBox&lt;&gt;0)), _xlpm.Urutan, ROUNDUP(ROWS($C$142:C158)/2, 0), IFERROR(INDEX(_xlpm.CleanList, _xlpm.Urutan), ""))</f>
        <v/>
      </c>
      <c r="D158" s="380" t="str">
        <f t="shared" ref="D158" si="75">IF($C158="", "", VLOOKUP($C158, $C$21:$D$136, 2, FALSE))</f>
        <v/>
      </c>
      <c r="E158" s="450" t="str">
        <f t="shared" ref="E158" si="76">IF($C158="", "", VLOOKUP($C158, $C$21:$E$136, 3, FALSE))</f>
        <v/>
      </c>
      <c r="F158" s="188" t="str">
        <f t="shared" ref="F158" si="77">IF($C158="", "", INDEX($F$21:$F$136, MATCH($C158, $C$21:$C$136, 0)))</f>
        <v/>
      </c>
      <c r="G158" s="462" t="str">
        <f t="shared" ref="G158" si="78">IF($C158="", "", SUMIF($C$21:$C$136, $C158, G$21:G$136))</f>
        <v/>
      </c>
      <c r="H158" s="463" t="e">
        <f>VLOOKUP(F158,Sheet2!$A$2:$D$31,3,0)</f>
        <v>#N/A</v>
      </c>
      <c r="I158" s="464" t="str">
        <f t="shared" ref="I158:J158" si="79">IF($C158="", "", SUMIF($C$21:$C$136, $C158, I$21:I$136))</f>
        <v/>
      </c>
      <c r="J158" s="464" t="str">
        <f t="shared" si="79"/>
        <v/>
      </c>
      <c r="K158" s="459" t="str">
        <f>IF($C158="", "", SUMIF($C$21:$C$136, $C158, K$21:K$136))</f>
        <v/>
      </c>
      <c r="L158" s="152"/>
      <c r="M158" s="153"/>
    </row>
    <row r="159" spans="1:13" s="135" customFormat="1" ht="16" customHeight="1">
      <c r="A159" s="175"/>
      <c r="B159" s="448"/>
      <c r="C159" s="450"/>
      <c r="D159" s="380" t="str" cm="1">
        <f t="array" ref="D159">IF($C158="", "", INDEX($D$21:$D$136, MATCH($C158, $C$21:$C$136, 0) + 1))</f>
        <v/>
      </c>
      <c r="E159" s="450"/>
      <c r="F159" s="188" t="str" cm="1">
        <f t="array" ref="F159">IF($C158="", "", INDEX($F$21:$F$136, MATCH($C158, $C$21:$C$136, 0) + 1))</f>
        <v/>
      </c>
      <c r="G159" s="462"/>
      <c r="H159" s="463" t="e">
        <f>VLOOKUP(F159,Sheet2!$A$2:$D$31,3,0)</f>
        <v>#N/A</v>
      </c>
      <c r="I159" s="464"/>
      <c r="J159" s="464"/>
      <c r="K159" s="465"/>
      <c r="L159" s="152"/>
      <c r="M159" s="153"/>
    </row>
    <row r="160" spans="1:13" s="135" customFormat="1" ht="16" customHeight="1">
      <c r="A160" s="175"/>
      <c r="B160" s="448">
        <f>B158+1</f>
        <v>10</v>
      </c>
      <c r="C160" s="450" t="str" cm="1">
        <f t="array" ref="C160">_xlfn.LET(_xlpm.DataBox, _xlfn.TOCOL(_xlfn.VSTACK($C$21:$C$40, $C$45:$C$64, $C$69:$C$88, $C$93:$C$112, $C$117:$C$136), 3), _xlpm.CleanList, _xlfn.UNIQUE(_xlfn._xlws.FILTER(_xlpm.DataBox, _xlpm.DataBox&lt;&gt;0)), _xlpm.Urutan, ROUNDUP(ROWS($C$142:C160)/2, 0), IFERROR(INDEX(_xlpm.CleanList, _xlpm.Urutan), ""))</f>
        <v/>
      </c>
      <c r="D160" s="199" t="str">
        <f t="shared" ref="D160" si="80">IF($C160="", "", VLOOKUP($C160, $C$21:$D$136, 2, FALSE))</f>
        <v/>
      </c>
      <c r="E160" s="450" t="str">
        <f t="shared" ref="E160" si="81">IF($C160="", "", VLOOKUP($C160, $C$21:$E$136, 3, FALSE))</f>
        <v/>
      </c>
      <c r="F160" s="188" t="str">
        <f t="shared" ref="F160" si="82">IF($C160="", "", INDEX($F$21:$F$136, MATCH($C160, $C$21:$C$136, 0)))</f>
        <v/>
      </c>
      <c r="G160" s="462" t="str">
        <f t="shared" ref="G160" si="83">IF($C160="", "", SUMIF($C$21:$C$136, $C160, G$21:G$136))</f>
        <v/>
      </c>
      <c r="H160" s="463" t="e">
        <f>VLOOKUP(F160,Sheet2!$A$2:$D$31,3,0)</f>
        <v>#N/A</v>
      </c>
      <c r="I160" s="464" t="str">
        <f t="shared" ref="I160:J160" si="84">IF($C160="", "", SUMIF($C$21:$C$136, $C160, I$21:I$136))</f>
        <v/>
      </c>
      <c r="J160" s="464" t="str">
        <f t="shared" si="84"/>
        <v/>
      </c>
      <c r="K160" s="459" t="str">
        <f>IF($C160="", "", SUMIF($C$21:$C$136, $C160, K$21:K$136))</f>
        <v/>
      </c>
      <c r="L160" s="152"/>
      <c r="M160" s="153"/>
    </row>
    <row r="161" spans="1:14" s="135" customFormat="1" ht="16" customHeight="1" thickBot="1">
      <c r="A161" s="175"/>
      <c r="B161" s="470"/>
      <c r="C161" s="471"/>
      <c r="D161" s="381" t="str" cm="1">
        <f t="array" ref="D161">IF($C160="", "", INDEX($D$21:$D$136, MATCH($C160, $C$21:$C$136, 0) + 1))</f>
        <v/>
      </c>
      <c r="E161" s="471"/>
      <c r="F161" s="190" t="str" cm="1">
        <f t="array" ref="F161">IF($C160="", "", INDEX($F$21:$F$136, MATCH($C160, $C$21:$C$136, 0) + 1))</f>
        <v/>
      </c>
      <c r="G161" s="472"/>
      <c r="H161" s="473" t="e">
        <f>VLOOKUP(F161,Sheet2!$A$2:$D$31,3,0)</f>
        <v>#N/A</v>
      </c>
      <c r="I161" s="466"/>
      <c r="J161" s="466"/>
      <c r="K161" s="465"/>
      <c r="L161" s="152"/>
      <c r="M161" s="153"/>
    </row>
    <row r="162" spans="1:14" s="135" customFormat="1" ht="33.5" customHeight="1" thickBot="1">
      <c r="A162" s="175"/>
      <c r="B162" s="488" t="s">
        <v>48</v>
      </c>
      <c r="C162" s="489"/>
      <c r="D162" s="489"/>
      <c r="E162" s="489"/>
      <c r="F162" s="191"/>
      <c r="G162" s="490">
        <f>SUM(G142:G161)</f>
        <v>0</v>
      </c>
      <c r="H162" s="490"/>
      <c r="I162" s="192">
        <f>SUM(I142:I161)</f>
        <v>0</v>
      </c>
      <c r="J162" s="192">
        <f>SUM(J142:J161)</f>
        <v>0</v>
      </c>
      <c r="K162" s="193">
        <f>SUM(K142:K161)</f>
        <v>0</v>
      </c>
      <c r="M162" s="152"/>
      <c r="N162" s="153"/>
    </row>
    <row r="163" spans="1:14" s="135" customFormat="1" ht="33.5" hidden="1" customHeight="1" thickBot="1">
      <c r="A163" s="175"/>
      <c r="B163" s="119"/>
      <c r="C163" s="173"/>
      <c r="D163" s="119"/>
      <c r="E163" s="118"/>
      <c r="F163" s="118"/>
      <c r="G163" s="120"/>
      <c r="H163" s="194"/>
      <c r="I163" s="195"/>
      <c r="J163" s="366" t="s">
        <v>141</v>
      </c>
      <c r="K163" s="367">
        <v>30</v>
      </c>
      <c r="L163" s="121"/>
      <c r="M163" s="152"/>
      <c r="N163" s="153"/>
    </row>
    <row r="164" spans="1:14" s="135" customFormat="1" ht="39.5" hidden="1" customHeight="1" thickBot="1">
      <c r="A164" s="175"/>
      <c r="B164" s="119"/>
      <c r="C164" s="173"/>
      <c r="D164" s="119"/>
      <c r="E164" s="118"/>
      <c r="F164" s="118"/>
      <c r="G164" s="120"/>
      <c r="H164" s="194"/>
      <c r="I164" s="195"/>
      <c r="J164" s="356" t="s">
        <v>47</v>
      </c>
      <c r="K164" s="193">
        <f>SUM(K162:K163)</f>
        <v>30</v>
      </c>
      <c r="L164" s="121"/>
      <c r="M164" s="152"/>
      <c r="N164" s="153"/>
    </row>
    <row r="165" spans="1:14" s="135" customFormat="1" ht="15.5">
      <c r="A165" s="175"/>
      <c r="B165" s="119"/>
      <c r="C165" s="173"/>
      <c r="D165" s="119"/>
      <c r="F165" s="118"/>
      <c r="G165" s="120"/>
      <c r="H165" s="194"/>
      <c r="I165" s="195"/>
      <c r="J165" s="195"/>
      <c r="K165" s="121"/>
      <c r="L165" s="121"/>
      <c r="M165" s="152"/>
      <c r="N165" s="153"/>
    </row>
    <row r="166" spans="1:14" s="135" customFormat="1" ht="15.5">
      <c r="A166" s="175"/>
      <c r="B166" s="119"/>
      <c r="C166" s="173"/>
      <c r="D166" s="119"/>
      <c r="F166" s="118"/>
      <c r="G166" s="120"/>
      <c r="H166" s="194"/>
      <c r="I166" s="153"/>
      <c r="J166" s="195"/>
      <c r="K166" s="121"/>
      <c r="L166" s="121"/>
      <c r="M166" s="152"/>
      <c r="N166" s="153"/>
    </row>
    <row r="167" spans="1:14" s="135" customFormat="1" ht="15.5">
      <c r="A167" s="175"/>
      <c r="B167" s="119"/>
      <c r="C167" s="173"/>
      <c r="D167" s="119"/>
      <c r="F167" s="118"/>
      <c r="G167" s="120"/>
      <c r="H167" s="194"/>
      <c r="I167" s="153"/>
      <c r="J167" s="195"/>
      <c r="K167" s="121"/>
      <c r="L167" s="121"/>
      <c r="M167" s="152"/>
      <c r="N167" s="153"/>
    </row>
    <row r="168" spans="1:14" s="135" customFormat="1" ht="15.5">
      <c r="A168" s="175"/>
      <c r="B168" s="119"/>
      <c r="C168" s="173"/>
      <c r="D168" s="119"/>
      <c r="F168" s="118"/>
      <c r="G168" s="120"/>
      <c r="H168" s="194"/>
      <c r="J168" s="195"/>
      <c r="K168" s="121"/>
      <c r="L168" s="121"/>
      <c r="M168" s="152"/>
      <c r="N168" s="153"/>
    </row>
    <row r="169" spans="1:14" s="135" customFormat="1" ht="15.5">
      <c r="A169" s="175"/>
      <c r="B169" s="119"/>
      <c r="C169" s="173"/>
      <c r="D169" s="119"/>
      <c r="F169" s="118"/>
      <c r="G169" s="120"/>
      <c r="H169" s="194"/>
      <c r="J169" s="195"/>
      <c r="K169" s="121"/>
      <c r="L169" s="121"/>
      <c r="M169" s="152"/>
      <c r="N169" s="153"/>
    </row>
    <row r="170" spans="1:14" s="135" customFormat="1" ht="15.5">
      <c r="A170" s="175"/>
      <c r="B170" s="119"/>
      <c r="C170" s="173"/>
      <c r="D170" s="119"/>
      <c r="E170" s="196" t="s">
        <v>49</v>
      </c>
      <c r="F170" s="118"/>
      <c r="G170" s="120"/>
      <c r="H170" s="194"/>
      <c r="J170" s="195"/>
      <c r="K170" s="121"/>
      <c r="L170" s="121"/>
      <c r="M170" s="152"/>
      <c r="N170" s="153"/>
    </row>
    <row r="171" spans="1:14" s="135" customFormat="1" ht="15.5">
      <c r="A171" s="175"/>
      <c r="B171" s="119"/>
      <c r="C171" s="173"/>
      <c r="D171" s="119"/>
      <c r="E171" s="196"/>
      <c r="F171" s="118"/>
      <c r="G171" s="120"/>
      <c r="H171" s="194"/>
      <c r="J171" s="195"/>
      <c r="K171" s="121"/>
      <c r="L171" s="121"/>
      <c r="M171" s="152"/>
      <c r="N171" s="153"/>
    </row>
    <row r="172" spans="1:14" s="135" customFormat="1" ht="15.5">
      <c r="A172" s="175"/>
      <c r="B172" s="119"/>
      <c r="C172" s="173"/>
      <c r="D172" s="119"/>
      <c r="E172" s="196"/>
      <c r="F172" s="118"/>
      <c r="G172" s="120"/>
      <c r="H172" s="194"/>
      <c r="I172" s="153"/>
      <c r="J172" s="195"/>
      <c r="K172" s="121"/>
      <c r="L172" s="121"/>
      <c r="M172" s="152"/>
      <c r="N172" s="153"/>
    </row>
    <row r="173" spans="1:14" ht="10.5" customHeight="1">
      <c r="A173" s="142"/>
      <c r="B173" s="142"/>
      <c r="C173" s="142"/>
      <c r="D173" s="142"/>
      <c r="E173" s="197" t="s">
        <v>50</v>
      </c>
      <c r="F173" s="142"/>
      <c r="G173" s="142"/>
      <c r="H173" s="142"/>
      <c r="I173" s="142"/>
      <c r="J173" s="198"/>
      <c r="K173" s="142"/>
      <c r="L173" s="142"/>
      <c r="M173" s="141"/>
      <c r="N173" s="142"/>
    </row>
    <row r="174" spans="1:14" ht="10.5" customHeight="1">
      <c r="A174" s="142"/>
      <c r="B174" s="142"/>
      <c r="C174" s="142"/>
      <c r="D174" s="142"/>
      <c r="E174" s="142"/>
      <c r="F174" s="142"/>
      <c r="G174" s="142"/>
      <c r="H174" s="142"/>
      <c r="I174" s="142"/>
      <c r="J174" s="198"/>
      <c r="K174" s="142"/>
      <c r="L174" s="142"/>
      <c r="M174" s="141"/>
      <c r="N174" s="142"/>
    </row>
    <row r="175" spans="1:14" ht="10.5" customHeight="1">
      <c r="A175" s="142"/>
      <c r="B175" s="142"/>
      <c r="C175" s="142"/>
      <c r="D175" s="142"/>
      <c r="E175" s="142"/>
      <c r="F175" s="142"/>
      <c r="G175" s="142"/>
      <c r="H175" s="142"/>
      <c r="I175" s="142"/>
      <c r="J175" s="198"/>
      <c r="K175" s="142"/>
      <c r="L175" s="142"/>
      <c r="M175" s="141"/>
      <c r="N175" s="142"/>
    </row>
    <row r="176" spans="1:14" ht="10.5" customHeight="1">
      <c r="A176" s="142"/>
      <c r="B176" s="142"/>
      <c r="C176" s="142"/>
      <c r="D176" s="142"/>
      <c r="E176" s="142"/>
      <c r="F176" s="142"/>
      <c r="G176" s="142"/>
      <c r="H176" s="142"/>
      <c r="I176" s="142"/>
      <c r="J176" s="198"/>
      <c r="K176" s="142"/>
      <c r="L176" s="142"/>
      <c r="M176" s="141"/>
      <c r="N176" s="142"/>
    </row>
    <row r="177" spans="1:14" ht="10.5" customHeight="1">
      <c r="A177" s="142"/>
      <c r="B177" s="142"/>
      <c r="C177" s="142"/>
      <c r="D177" s="142"/>
      <c r="E177" s="142"/>
      <c r="F177" s="142"/>
      <c r="G177" s="142"/>
      <c r="H177" s="142"/>
      <c r="I177" s="142"/>
      <c r="J177" s="198"/>
      <c r="K177" s="142"/>
      <c r="L177" s="142"/>
      <c r="M177" s="141"/>
      <c r="N177" s="142"/>
    </row>
    <row r="178" spans="1:14" ht="10.5" customHeight="1">
      <c r="A178" s="142"/>
      <c r="B178" s="142"/>
      <c r="C178" s="142"/>
      <c r="D178" s="142"/>
      <c r="E178" s="142"/>
      <c r="F178" s="142"/>
      <c r="G178" s="142"/>
      <c r="H178" s="142"/>
      <c r="I178" s="142"/>
      <c r="J178" s="198"/>
      <c r="K178" s="142"/>
      <c r="L178" s="142"/>
      <c r="M178" s="141"/>
      <c r="N178" s="142"/>
    </row>
    <row r="179" spans="1:14" ht="10.5" customHeight="1">
      <c r="A179" s="142"/>
      <c r="B179" s="142"/>
      <c r="C179" s="142"/>
      <c r="D179" s="142"/>
      <c r="E179" s="142"/>
      <c r="F179" s="142"/>
      <c r="G179" s="142"/>
      <c r="H179" s="142"/>
      <c r="I179" s="142"/>
      <c r="J179" s="198"/>
      <c r="K179" s="142"/>
      <c r="L179" s="142"/>
      <c r="M179" s="141"/>
      <c r="N179" s="142"/>
    </row>
  </sheetData>
  <mergeCells count="543">
    <mergeCell ref="A1:L1"/>
    <mergeCell ref="A2:L2"/>
    <mergeCell ref="A3:L3"/>
    <mergeCell ref="L6:L9"/>
    <mergeCell ref="G20:H20"/>
    <mergeCell ref="B21:B22"/>
    <mergeCell ref="C21:C22"/>
    <mergeCell ref="E21:E22"/>
    <mergeCell ref="G21:G22"/>
    <mergeCell ref="H21:H22"/>
    <mergeCell ref="I21:I22"/>
    <mergeCell ref="J21:J22"/>
    <mergeCell ref="K21:K22"/>
    <mergeCell ref="B23:B24"/>
    <mergeCell ref="C23:C24"/>
    <mergeCell ref="E23:E24"/>
    <mergeCell ref="G23:G24"/>
    <mergeCell ref="H23:H24"/>
    <mergeCell ref="I23:I24"/>
    <mergeCell ref="J23:J24"/>
    <mergeCell ref="K23:K24"/>
    <mergeCell ref="B25:B26"/>
    <mergeCell ref="C25:C26"/>
    <mergeCell ref="E25:E26"/>
    <mergeCell ref="G25:G26"/>
    <mergeCell ref="H25:H26"/>
    <mergeCell ref="I25:I26"/>
    <mergeCell ref="J25:J26"/>
    <mergeCell ref="K25:K26"/>
    <mergeCell ref="J27:J28"/>
    <mergeCell ref="K27:K28"/>
    <mergeCell ref="B29:B30"/>
    <mergeCell ref="C29:C30"/>
    <mergeCell ref="E29:E30"/>
    <mergeCell ref="G29:G30"/>
    <mergeCell ref="H29:H30"/>
    <mergeCell ref="I29:I30"/>
    <mergeCell ref="J29:J30"/>
    <mergeCell ref="K29:K30"/>
    <mergeCell ref="B27:B28"/>
    <mergeCell ref="C27:C28"/>
    <mergeCell ref="E27:E28"/>
    <mergeCell ref="G27:G28"/>
    <mergeCell ref="H27:H28"/>
    <mergeCell ref="I27:I28"/>
    <mergeCell ref="J31:J32"/>
    <mergeCell ref="K31:K32"/>
    <mergeCell ref="B33:B34"/>
    <mergeCell ref="C33:C34"/>
    <mergeCell ref="E33:E34"/>
    <mergeCell ref="G33:G34"/>
    <mergeCell ref="H33:H34"/>
    <mergeCell ref="I33:I34"/>
    <mergeCell ref="J33:J34"/>
    <mergeCell ref="K33:K34"/>
    <mergeCell ref="B31:B32"/>
    <mergeCell ref="C31:C32"/>
    <mergeCell ref="E31:E32"/>
    <mergeCell ref="G31:G32"/>
    <mergeCell ref="H31:H32"/>
    <mergeCell ref="I31:I32"/>
    <mergeCell ref="J35:J36"/>
    <mergeCell ref="K35:K36"/>
    <mergeCell ref="B37:B38"/>
    <mergeCell ref="C37:C38"/>
    <mergeCell ref="E37:E38"/>
    <mergeCell ref="G37:G38"/>
    <mergeCell ref="H37:H38"/>
    <mergeCell ref="I37:I38"/>
    <mergeCell ref="J37:J38"/>
    <mergeCell ref="K37:K38"/>
    <mergeCell ref="B35:B36"/>
    <mergeCell ref="C35:C36"/>
    <mergeCell ref="E35:E36"/>
    <mergeCell ref="G35:G36"/>
    <mergeCell ref="H35:H36"/>
    <mergeCell ref="I35:I36"/>
    <mergeCell ref="J39:J40"/>
    <mergeCell ref="K39:K40"/>
    <mergeCell ref="B41:E41"/>
    <mergeCell ref="G41:H41"/>
    <mergeCell ref="G44:H44"/>
    <mergeCell ref="B45:B46"/>
    <mergeCell ref="C45:C46"/>
    <mergeCell ref="E45:E46"/>
    <mergeCell ref="G45:G46"/>
    <mergeCell ref="H45:H46"/>
    <mergeCell ref="B39:B40"/>
    <mergeCell ref="C39:C40"/>
    <mergeCell ref="E39:E40"/>
    <mergeCell ref="G39:G40"/>
    <mergeCell ref="H39:H40"/>
    <mergeCell ref="I39:I40"/>
    <mergeCell ref="I45:I46"/>
    <mergeCell ref="J45:J46"/>
    <mergeCell ref="K45:K46"/>
    <mergeCell ref="L45:L46"/>
    <mergeCell ref="B47:B48"/>
    <mergeCell ref="C47:C48"/>
    <mergeCell ref="E47:E48"/>
    <mergeCell ref="G47:G48"/>
    <mergeCell ref="H47:H48"/>
    <mergeCell ref="I47:I48"/>
    <mergeCell ref="J47:J48"/>
    <mergeCell ref="K47:K48"/>
    <mergeCell ref="L47:L48"/>
    <mergeCell ref="B49:B50"/>
    <mergeCell ref="C49:C50"/>
    <mergeCell ref="E49:E50"/>
    <mergeCell ref="G49:G50"/>
    <mergeCell ref="H49:H50"/>
    <mergeCell ref="I49:I50"/>
    <mergeCell ref="J49:J50"/>
    <mergeCell ref="K49:K50"/>
    <mergeCell ref="L49:L50"/>
    <mergeCell ref="B51:B52"/>
    <mergeCell ref="C51:C52"/>
    <mergeCell ref="E51:E52"/>
    <mergeCell ref="G51:G52"/>
    <mergeCell ref="H51:H52"/>
    <mergeCell ref="I51:I52"/>
    <mergeCell ref="J51:J52"/>
    <mergeCell ref="K51:K52"/>
    <mergeCell ref="L51:L52"/>
    <mergeCell ref="B53:B54"/>
    <mergeCell ref="C53:C54"/>
    <mergeCell ref="E53:E54"/>
    <mergeCell ref="G53:G54"/>
    <mergeCell ref="H53:H54"/>
    <mergeCell ref="I53:I54"/>
    <mergeCell ref="J53:J54"/>
    <mergeCell ref="K53:K54"/>
    <mergeCell ref="L53:L54"/>
    <mergeCell ref="J55:J56"/>
    <mergeCell ref="K55:K56"/>
    <mergeCell ref="L55:L56"/>
    <mergeCell ref="B57:B58"/>
    <mergeCell ref="C57:C58"/>
    <mergeCell ref="E57:E58"/>
    <mergeCell ref="G57:G58"/>
    <mergeCell ref="H57:H58"/>
    <mergeCell ref="I57:I58"/>
    <mergeCell ref="J57:J58"/>
    <mergeCell ref="B55:B56"/>
    <mergeCell ref="C55:C56"/>
    <mergeCell ref="E55:E56"/>
    <mergeCell ref="G55:G56"/>
    <mergeCell ref="H55:H56"/>
    <mergeCell ref="I55:I56"/>
    <mergeCell ref="K57:K58"/>
    <mergeCell ref="L57:L58"/>
    <mergeCell ref="B59:B60"/>
    <mergeCell ref="C59:C60"/>
    <mergeCell ref="E59:E60"/>
    <mergeCell ref="G59:G60"/>
    <mergeCell ref="H59:H60"/>
    <mergeCell ref="I59:I60"/>
    <mergeCell ref="J59:J60"/>
    <mergeCell ref="K59:K60"/>
    <mergeCell ref="L59:L60"/>
    <mergeCell ref="B61:B62"/>
    <mergeCell ref="C61:C62"/>
    <mergeCell ref="E61:E62"/>
    <mergeCell ref="G61:G62"/>
    <mergeCell ref="H61:H62"/>
    <mergeCell ref="I61:I62"/>
    <mergeCell ref="J61:J62"/>
    <mergeCell ref="K61:K62"/>
    <mergeCell ref="L61:L62"/>
    <mergeCell ref="J63:J64"/>
    <mergeCell ref="K63:K64"/>
    <mergeCell ref="L63:L64"/>
    <mergeCell ref="B65:E65"/>
    <mergeCell ref="G65:H65"/>
    <mergeCell ref="G68:H68"/>
    <mergeCell ref="B63:B64"/>
    <mergeCell ref="C63:C64"/>
    <mergeCell ref="E63:E64"/>
    <mergeCell ref="G63:G64"/>
    <mergeCell ref="H63:H64"/>
    <mergeCell ref="I63:I64"/>
    <mergeCell ref="J69:J70"/>
    <mergeCell ref="K69:K70"/>
    <mergeCell ref="L69:L70"/>
    <mergeCell ref="B71:B72"/>
    <mergeCell ref="C71:C72"/>
    <mergeCell ref="E71:E72"/>
    <mergeCell ref="G71:G72"/>
    <mergeCell ref="H71:H72"/>
    <mergeCell ref="I71:I72"/>
    <mergeCell ref="J71:J72"/>
    <mergeCell ref="B69:B70"/>
    <mergeCell ref="C69:C70"/>
    <mergeCell ref="E69:E70"/>
    <mergeCell ref="G69:G70"/>
    <mergeCell ref="H69:H70"/>
    <mergeCell ref="I69:I70"/>
    <mergeCell ref="K71:K72"/>
    <mergeCell ref="L71:L72"/>
    <mergeCell ref="B73:B74"/>
    <mergeCell ref="C73:C74"/>
    <mergeCell ref="E73:E74"/>
    <mergeCell ref="G73:G74"/>
    <mergeCell ref="H73:H74"/>
    <mergeCell ref="I73:I74"/>
    <mergeCell ref="J73:J74"/>
    <mergeCell ref="K73:K74"/>
    <mergeCell ref="L73:L74"/>
    <mergeCell ref="B75:B76"/>
    <mergeCell ref="C75:C76"/>
    <mergeCell ref="E75:E76"/>
    <mergeCell ref="G75:G76"/>
    <mergeCell ref="H75:H76"/>
    <mergeCell ref="I75:I76"/>
    <mergeCell ref="J75:J76"/>
    <mergeCell ref="K75:K76"/>
    <mergeCell ref="L75:L76"/>
    <mergeCell ref="J77:J78"/>
    <mergeCell ref="K77:K78"/>
    <mergeCell ref="L77:L78"/>
    <mergeCell ref="B79:B80"/>
    <mergeCell ref="C79:C80"/>
    <mergeCell ref="E79:E80"/>
    <mergeCell ref="G79:G80"/>
    <mergeCell ref="H79:H80"/>
    <mergeCell ref="I79:I80"/>
    <mergeCell ref="J79:J80"/>
    <mergeCell ref="B77:B78"/>
    <mergeCell ref="C77:C78"/>
    <mergeCell ref="E77:E78"/>
    <mergeCell ref="G77:G78"/>
    <mergeCell ref="H77:H78"/>
    <mergeCell ref="I77:I78"/>
    <mergeCell ref="K79:K80"/>
    <mergeCell ref="L79:L80"/>
    <mergeCell ref="B81:B82"/>
    <mergeCell ref="C81:C82"/>
    <mergeCell ref="E81:E82"/>
    <mergeCell ref="G81:G82"/>
    <mergeCell ref="H81:H82"/>
    <mergeCell ref="I81:I82"/>
    <mergeCell ref="J81:J82"/>
    <mergeCell ref="K81:K82"/>
    <mergeCell ref="L81:L82"/>
    <mergeCell ref="B83:B84"/>
    <mergeCell ref="C83:C84"/>
    <mergeCell ref="E83:E84"/>
    <mergeCell ref="G83:G84"/>
    <mergeCell ref="H83:H84"/>
    <mergeCell ref="I83:I84"/>
    <mergeCell ref="J83:J84"/>
    <mergeCell ref="K83:K84"/>
    <mergeCell ref="L83:L84"/>
    <mergeCell ref="J85:J86"/>
    <mergeCell ref="K85:K86"/>
    <mergeCell ref="L85:L86"/>
    <mergeCell ref="B87:B88"/>
    <mergeCell ref="C87:C88"/>
    <mergeCell ref="E87:E88"/>
    <mergeCell ref="G87:G88"/>
    <mergeCell ref="H87:H88"/>
    <mergeCell ref="I87:I88"/>
    <mergeCell ref="J87:J88"/>
    <mergeCell ref="B85:B86"/>
    <mergeCell ref="C85:C86"/>
    <mergeCell ref="E85:E86"/>
    <mergeCell ref="G85:G86"/>
    <mergeCell ref="H85:H86"/>
    <mergeCell ref="I85:I86"/>
    <mergeCell ref="K87:K88"/>
    <mergeCell ref="L87:L88"/>
    <mergeCell ref="B89:E89"/>
    <mergeCell ref="G89:H89"/>
    <mergeCell ref="G92:H92"/>
    <mergeCell ref="B93:B94"/>
    <mergeCell ref="C93:C94"/>
    <mergeCell ref="E93:E94"/>
    <mergeCell ref="G93:G94"/>
    <mergeCell ref="H93:H94"/>
    <mergeCell ref="I93:I94"/>
    <mergeCell ref="J93:J94"/>
    <mergeCell ref="K93:K94"/>
    <mergeCell ref="L93:L94"/>
    <mergeCell ref="B95:B96"/>
    <mergeCell ref="C95:C96"/>
    <mergeCell ref="E95:E96"/>
    <mergeCell ref="G95:G96"/>
    <mergeCell ref="H95:H96"/>
    <mergeCell ref="I95:I96"/>
    <mergeCell ref="J95:J96"/>
    <mergeCell ref="K95:K96"/>
    <mergeCell ref="L95:L96"/>
    <mergeCell ref="B97:B98"/>
    <mergeCell ref="C97:C98"/>
    <mergeCell ref="E97:E98"/>
    <mergeCell ref="G97:G98"/>
    <mergeCell ref="H97:H98"/>
    <mergeCell ref="I97:I98"/>
    <mergeCell ref="J97:J98"/>
    <mergeCell ref="K97:K98"/>
    <mergeCell ref="L97:L98"/>
    <mergeCell ref="B99:B100"/>
    <mergeCell ref="C99:C100"/>
    <mergeCell ref="E99:E100"/>
    <mergeCell ref="G99:G100"/>
    <mergeCell ref="H99:H100"/>
    <mergeCell ref="I99:I100"/>
    <mergeCell ref="J99:J100"/>
    <mergeCell ref="K99:K100"/>
    <mergeCell ref="L99:L100"/>
    <mergeCell ref="B101:B102"/>
    <mergeCell ref="C101:C102"/>
    <mergeCell ref="E101:E102"/>
    <mergeCell ref="G101:G102"/>
    <mergeCell ref="H101:H102"/>
    <mergeCell ref="I101:I102"/>
    <mergeCell ref="J101:J102"/>
    <mergeCell ref="K101:K102"/>
    <mergeCell ref="L101:L102"/>
    <mergeCell ref="J103:J104"/>
    <mergeCell ref="K103:K104"/>
    <mergeCell ref="L103:L104"/>
    <mergeCell ref="B105:B106"/>
    <mergeCell ref="C105:C106"/>
    <mergeCell ref="E105:E106"/>
    <mergeCell ref="G105:G106"/>
    <mergeCell ref="H105:H106"/>
    <mergeCell ref="I105:I106"/>
    <mergeCell ref="J105:J106"/>
    <mergeCell ref="B103:B104"/>
    <mergeCell ref="C103:C104"/>
    <mergeCell ref="E103:E104"/>
    <mergeCell ref="G103:G104"/>
    <mergeCell ref="H103:H104"/>
    <mergeCell ref="I103:I104"/>
    <mergeCell ref="K105:K106"/>
    <mergeCell ref="L105:L106"/>
    <mergeCell ref="B107:B108"/>
    <mergeCell ref="C107:C108"/>
    <mergeCell ref="E107:E108"/>
    <mergeCell ref="G107:G108"/>
    <mergeCell ref="H107:H108"/>
    <mergeCell ref="I107:I108"/>
    <mergeCell ref="J107:J108"/>
    <mergeCell ref="K107:K108"/>
    <mergeCell ref="L107:L108"/>
    <mergeCell ref="B109:B110"/>
    <mergeCell ref="C109:C110"/>
    <mergeCell ref="E109:E110"/>
    <mergeCell ref="G109:G110"/>
    <mergeCell ref="H109:H110"/>
    <mergeCell ref="I109:I110"/>
    <mergeCell ref="J109:J110"/>
    <mergeCell ref="K109:K110"/>
    <mergeCell ref="L109:L110"/>
    <mergeCell ref="J111:J112"/>
    <mergeCell ref="K111:K112"/>
    <mergeCell ref="L111:L112"/>
    <mergeCell ref="B113:E113"/>
    <mergeCell ref="G113:H113"/>
    <mergeCell ref="G116:H116"/>
    <mergeCell ref="B111:B112"/>
    <mergeCell ref="C111:C112"/>
    <mergeCell ref="E111:E112"/>
    <mergeCell ref="G111:G112"/>
    <mergeCell ref="H111:H112"/>
    <mergeCell ref="I111:I112"/>
    <mergeCell ref="J117:J118"/>
    <mergeCell ref="K117:K118"/>
    <mergeCell ref="L117:L118"/>
    <mergeCell ref="B119:B120"/>
    <mergeCell ref="C119:C120"/>
    <mergeCell ref="E119:E120"/>
    <mergeCell ref="G119:G120"/>
    <mergeCell ref="H119:H120"/>
    <mergeCell ref="I119:I120"/>
    <mergeCell ref="J119:J120"/>
    <mergeCell ref="B117:B118"/>
    <mergeCell ref="C117:C118"/>
    <mergeCell ref="E117:E118"/>
    <mergeCell ref="G117:G118"/>
    <mergeCell ref="H117:H118"/>
    <mergeCell ref="I117:I118"/>
    <mergeCell ref="K119:K120"/>
    <mergeCell ref="L119:L120"/>
    <mergeCell ref="B121:B122"/>
    <mergeCell ref="C121:C122"/>
    <mergeCell ref="E121:E122"/>
    <mergeCell ref="G121:G122"/>
    <mergeCell ref="H121:H122"/>
    <mergeCell ref="I121:I122"/>
    <mergeCell ref="J121:J122"/>
    <mergeCell ref="K121:K122"/>
    <mergeCell ref="L121:L122"/>
    <mergeCell ref="B123:B124"/>
    <mergeCell ref="C123:C124"/>
    <mergeCell ref="E123:E124"/>
    <mergeCell ref="G123:G124"/>
    <mergeCell ref="H123:H124"/>
    <mergeCell ref="I123:I124"/>
    <mergeCell ref="J123:J124"/>
    <mergeCell ref="K123:K124"/>
    <mergeCell ref="L123:L124"/>
    <mergeCell ref="J125:J126"/>
    <mergeCell ref="K125:K126"/>
    <mergeCell ref="L125:L126"/>
    <mergeCell ref="B127:B128"/>
    <mergeCell ref="C127:C128"/>
    <mergeCell ref="E127:E128"/>
    <mergeCell ref="G127:G128"/>
    <mergeCell ref="H127:H128"/>
    <mergeCell ref="I127:I128"/>
    <mergeCell ref="J127:J128"/>
    <mergeCell ref="B125:B126"/>
    <mergeCell ref="C125:C126"/>
    <mergeCell ref="E125:E126"/>
    <mergeCell ref="G125:G126"/>
    <mergeCell ref="H125:H126"/>
    <mergeCell ref="I125:I126"/>
    <mergeCell ref="K127:K128"/>
    <mergeCell ref="L127:L128"/>
    <mergeCell ref="B129:B130"/>
    <mergeCell ref="C129:C130"/>
    <mergeCell ref="E129:E130"/>
    <mergeCell ref="G129:G130"/>
    <mergeCell ref="H129:H130"/>
    <mergeCell ref="I129:I130"/>
    <mergeCell ref="J129:J130"/>
    <mergeCell ref="K129:K130"/>
    <mergeCell ref="L129:L130"/>
    <mergeCell ref="B131:B132"/>
    <mergeCell ref="C131:C132"/>
    <mergeCell ref="E131:E132"/>
    <mergeCell ref="G131:G132"/>
    <mergeCell ref="H131:H132"/>
    <mergeCell ref="I131:I132"/>
    <mergeCell ref="J131:J132"/>
    <mergeCell ref="K131:K132"/>
    <mergeCell ref="L131:L132"/>
    <mergeCell ref="K135:K136"/>
    <mergeCell ref="L135:L136"/>
    <mergeCell ref="B137:E137"/>
    <mergeCell ref="G137:H137"/>
    <mergeCell ref="B140:K140"/>
    <mergeCell ref="G141:H141"/>
    <mergeCell ref="J133:J134"/>
    <mergeCell ref="K133:K134"/>
    <mergeCell ref="L133:L134"/>
    <mergeCell ref="B135:B136"/>
    <mergeCell ref="C135:C136"/>
    <mergeCell ref="E135:E136"/>
    <mergeCell ref="G135:G136"/>
    <mergeCell ref="H135:H136"/>
    <mergeCell ref="I135:I136"/>
    <mergeCell ref="J135:J136"/>
    <mergeCell ref="B133:B134"/>
    <mergeCell ref="C133:C134"/>
    <mergeCell ref="E133:E134"/>
    <mergeCell ref="G133:G134"/>
    <mergeCell ref="H133:H134"/>
    <mergeCell ref="I133:I134"/>
    <mergeCell ref="J142:J143"/>
    <mergeCell ref="K142:K143"/>
    <mergeCell ref="B144:B145"/>
    <mergeCell ref="C144:C145"/>
    <mergeCell ref="E144:E145"/>
    <mergeCell ref="G144:G145"/>
    <mergeCell ref="H144:H145"/>
    <mergeCell ref="I144:I145"/>
    <mergeCell ref="J144:J145"/>
    <mergeCell ref="K144:K145"/>
    <mergeCell ref="B142:B143"/>
    <mergeCell ref="C142:C143"/>
    <mergeCell ref="E142:E143"/>
    <mergeCell ref="G142:G143"/>
    <mergeCell ref="H142:H143"/>
    <mergeCell ref="I142:I143"/>
    <mergeCell ref="J146:J147"/>
    <mergeCell ref="K146:K147"/>
    <mergeCell ref="B148:B149"/>
    <mergeCell ref="C148:C149"/>
    <mergeCell ref="E148:E149"/>
    <mergeCell ref="G148:G149"/>
    <mergeCell ref="H148:H149"/>
    <mergeCell ref="I148:I149"/>
    <mergeCell ref="J148:J149"/>
    <mergeCell ref="K148:K149"/>
    <mergeCell ref="B146:B147"/>
    <mergeCell ref="C146:C147"/>
    <mergeCell ref="E146:E147"/>
    <mergeCell ref="G146:G147"/>
    <mergeCell ref="H146:H147"/>
    <mergeCell ref="I146:I147"/>
    <mergeCell ref="J150:J151"/>
    <mergeCell ref="K150:K151"/>
    <mergeCell ref="B152:B153"/>
    <mergeCell ref="C152:C153"/>
    <mergeCell ref="E152:E153"/>
    <mergeCell ref="G152:G153"/>
    <mergeCell ref="H152:H153"/>
    <mergeCell ref="I152:I153"/>
    <mergeCell ref="J152:J153"/>
    <mergeCell ref="K152:K153"/>
    <mergeCell ref="B150:B151"/>
    <mergeCell ref="C150:C151"/>
    <mergeCell ref="E150:E151"/>
    <mergeCell ref="G150:G151"/>
    <mergeCell ref="H150:H151"/>
    <mergeCell ref="I150:I151"/>
    <mergeCell ref="J154:J155"/>
    <mergeCell ref="K154:K155"/>
    <mergeCell ref="B156:B157"/>
    <mergeCell ref="C156:C157"/>
    <mergeCell ref="E156:E157"/>
    <mergeCell ref="G156:G157"/>
    <mergeCell ref="H156:H157"/>
    <mergeCell ref="I156:I157"/>
    <mergeCell ref="J156:J157"/>
    <mergeCell ref="K156:K157"/>
    <mergeCell ref="B154:B155"/>
    <mergeCell ref="C154:C155"/>
    <mergeCell ref="E154:E155"/>
    <mergeCell ref="G154:G155"/>
    <mergeCell ref="H154:H155"/>
    <mergeCell ref="I154:I155"/>
    <mergeCell ref="B162:E162"/>
    <mergeCell ref="G162:H162"/>
    <mergeCell ref="J158:J159"/>
    <mergeCell ref="K158:K159"/>
    <mergeCell ref="B160:B161"/>
    <mergeCell ref="C160:C161"/>
    <mergeCell ref="E160:E161"/>
    <mergeCell ref="G160:G161"/>
    <mergeCell ref="H160:H161"/>
    <mergeCell ref="I160:I161"/>
    <mergeCell ref="J160:J161"/>
    <mergeCell ref="K160:K161"/>
    <mergeCell ref="B158:B159"/>
    <mergeCell ref="C158:C159"/>
    <mergeCell ref="E158:E159"/>
    <mergeCell ref="G158:G159"/>
    <mergeCell ref="H158:H159"/>
    <mergeCell ref="I158:I159"/>
  </mergeCells>
  <pageMargins left="0.16111111111111101" right="0.27152777777777798" top="9.7916666666666693E-2" bottom="9.7916666666666693E-2" header="0.16111111111111101" footer="0.16111111111111101"/>
  <pageSetup paperSize="9" scale="42" orientation="landscape" r:id="rId1"/>
  <headerFooter scaleWithDoc="0" alignWithMargins="0">
    <evenHeader>&amp;R&amp;9IV1910171019-0 page 2</even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8DC6-F55B-44F7-9102-DBF7927DE505}">
  <dimension ref="A1:N179"/>
  <sheetViews>
    <sheetView zoomScale="85" zoomScaleNormal="85" zoomScaleSheetLayoutView="55" workbookViewId="0">
      <selection activeCell="B21" sqref="B21:B22"/>
    </sheetView>
  </sheetViews>
  <sheetFormatPr defaultColWidth="9" defaultRowHeight="10.5" customHeight="1"/>
  <cols>
    <col min="1" max="1" width="13.33203125" style="133" customWidth="1"/>
    <col min="2" max="2" width="12.5" style="133" customWidth="1"/>
    <col min="3" max="3" width="20.58203125" style="133" customWidth="1"/>
    <col min="4" max="4" width="21.58203125" style="133" customWidth="1"/>
    <col min="5" max="5" width="25.33203125" style="133" customWidth="1"/>
    <col min="6" max="6" width="12.75" style="133" hidden="1" customWidth="1"/>
    <col min="7" max="8" width="6.08203125" style="133" customWidth="1"/>
    <col min="9" max="9" width="18.4140625" style="133" customWidth="1"/>
    <col min="10" max="10" width="18.4140625" style="136" customWidth="1"/>
    <col min="11" max="12" width="23.08203125" style="133" customWidth="1"/>
    <col min="13" max="13" width="17.6640625" style="132" customWidth="1"/>
    <col min="14" max="14" width="14.75" style="133" customWidth="1"/>
    <col min="15" max="15" width="20.08203125" style="133" customWidth="1"/>
    <col min="16" max="16" width="23" style="133" customWidth="1"/>
    <col min="17" max="16384" width="9" style="133"/>
  </cols>
  <sheetData>
    <row r="1" spans="1:14" s="131" customFormat="1" ht="24.75" customHeight="1">
      <c r="A1" s="441" t="s">
        <v>0</v>
      </c>
      <c r="B1" s="441"/>
      <c r="C1" s="441"/>
      <c r="D1" s="441"/>
      <c r="E1" s="441"/>
      <c r="F1" s="442"/>
      <c r="G1" s="441"/>
      <c r="H1" s="441"/>
      <c r="I1" s="441"/>
      <c r="J1" s="441"/>
      <c r="K1" s="441"/>
      <c r="L1" s="441"/>
      <c r="M1" s="139"/>
      <c r="N1" s="140"/>
    </row>
    <row r="2" spans="1:14" ht="15.75" customHeight="1">
      <c r="A2" s="443" t="s">
        <v>1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141"/>
      <c r="N2" s="142"/>
    </row>
    <row r="3" spans="1:14" s="134" customFormat="1" ht="15.75" customHeight="1">
      <c r="A3" s="444" t="s">
        <v>2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143"/>
      <c r="N3" s="144"/>
    </row>
    <row r="4" spans="1:14" s="135" customFormat="1" ht="12" customHeight="1">
      <c r="A4" s="145" t="s">
        <v>3</v>
      </c>
      <c r="B4" s="146" t="s">
        <v>4</v>
      </c>
      <c r="C4" s="146"/>
      <c r="D4" s="147"/>
      <c r="E4" s="147"/>
      <c r="F4" s="147"/>
      <c r="G4" s="147"/>
      <c r="H4" s="148"/>
      <c r="I4" s="149" t="s">
        <v>5</v>
      </c>
      <c r="J4" s="162">
        <f>'Customs Invoice'!K4</f>
        <v>0</v>
      </c>
      <c r="K4" s="162">
        <f>'Customs Invoice'!L4</f>
        <v>0</v>
      </c>
      <c r="L4" s="151"/>
      <c r="M4" s="153"/>
    </row>
    <row r="5" spans="1:14" s="135" customFormat="1" ht="12" customHeight="1">
      <c r="A5" s="154"/>
      <c r="B5" s="155" t="s">
        <v>6</v>
      </c>
      <c r="C5" s="155"/>
      <c r="D5" s="155"/>
      <c r="E5" s="155"/>
      <c r="F5" s="155"/>
      <c r="G5" s="155"/>
      <c r="H5" s="156"/>
      <c r="I5" s="149" t="s">
        <v>7</v>
      </c>
      <c r="J5" s="150"/>
      <c r="K5" s="150"/>
      <c r="L5" s="151"/>
      <c r="M5" s="153"/>
    </row>
    <row r="6" spans="1:14" s="135" customFormat="1" ht="12" customHeight="1">
      <c r="A6" s="154"/>
      <c r="B6" s="155" t="s">
        <v>8</v>
      </c>
      <c r="C6" s="155"/>
      <c r="D6" s="155"/>
      <c r="E6" s="155"/>
      <c r="F6" s="155"/>
      <c r="G6" s="155"/>
      <c r="H6" s="156"/>
      <c r="I6" s="154" t="str">
        <f>'Customs Invoice'!I6</f>
        <v>BILL TO :</v>
      </c>
      <c r="J6" s="15">
        <f>'Customs Invoice'!K6</f>
        <v>0</v>
      </c>
      <c r="K6" s="147"/>
      <c r="L6" s="460" t="s">
        <v>118</v>
      </c>
      <c r="M6" s="153"/>
    </row>
    <row r="7" spans="1:14" s="135" customFormat="1" ht="12" customHeight="1">
      <c r="A7" s="154"/>
      <c r="B7" s="155" t="s">
        <v>9</v>
      </c>
      <c r="C7" s="155"/>
      <c r="D7" s="155"/>
      <c r="E7" s="155"/>
      <c r="F7" s="155"/>
      <c r="G7" s="155"/>
      <c r="H7" s="156"/>
      <c r="I7" s="154"/>
      <c r="J7" s="214">
        <f>'Customs Invoice'!K7</f>
        <v>0</v>
      </c>
      <c r="K7" s="218"/>
      <c r="L7" s="461"/>
      <c r="M7" s="153"/>
    </row>
    <row r="8" spans="1:14" s="135" customFormat="1" ht="12" customHeight="1">
      <c r="A8" s="158"/>
      <c r="B8" s="159" t="s">
        <v>10</v>
      </c>
      <c r="C8" s="159"/>
      <c r="D8" s="159"/>
      <c r="E8" s="159"/>
      <c r="F8" s="159"/>
      <c r="G8" s="159"/>
      <c r="H8" s="160"/>
      <c r="I8" s="154"/>
      <c r="J8" s="214">
        <f>'Customs Invoice'!K8</f>
        <v>0</v>
      </c>
      <c r="K8" s="218"/>
      <c r="L8" s="461"/>
      <c r="M8" s="153"/>
    </row>
    <row r="9" spans="1:14" s="135" customFormat="1" ht="12" customHeight="1">
      <c r="A9" s="145" t="s">
        <v>11</v>
      </c>
      <c r="B9" s="146">
        <f>'Customs Invoice'!B9</f>
        <v>0</v>
      </c>
      <c r="C9" s="146"/>
      <c r="D9" s="157"/>
      <c r="E9" s="157"/>
      <c r="F9" s="157"/>
      <c r="G9" s="157"/>
      <c r="H9" s="148"/>
      <c r="I9" s="154"/>
      <c r="J9" s="214">
        <f>'Customs Invoice'!K9</f>
        <v>0</v>
      </c>
      <c r="K9" s="218"/>
      <c r="L9" s="461"/>
      <c r="M9" s="153"/>
    </row>
    <row r="10" spans="1:14" s="135" customFormat="1" ht="12" customHeight="1">
      <c r="A10" s="154"/>
      <c r="B10" s="161">
        <f>'Customs Invoice'!B10</f>
        <v>0</v>
      </c>
      <c r="C10" s="155"/>
      <c r="D10" s="161"/>
      <c r="E10" s="161"/>
      <c r="F10" s="161"/>
      <c r="G10" s="161"/>
      <c r="H10" s="156"/>
      <c r="I10" s="154"/>
      <c r="J10" s="214">
        <f>'Customs Invoice'!K10</f>
        <v>0</v>
      </c>
      <c r="K10" s="218"/>
      <c r="L10" s="219"/>
      <c r="M10" s="153"/>
    </row>
    <row r="11" spans="1:14" s="135" customFormat="1" ht="12" customHeight="1">
      <c r="A11" s="154"/>
      <c r="B11" s="161">
        <f>'Customs Invoice'!B11</f>
        <v>0</v>
      </c>
      <c r="C11" s="155"/>
      <c r="D11" s="161"/>
      <c r="E11" s="161"/>
      <c r="F11" s="161"/>
      <c r="G11" s="161"/>
      <c r="H11" s="156"/>
      <c r="I11" s="154"/>
      <c r="J11" s="161">
        <f>'Customs Invoice'!K11</f>
        <v>0</v>
      </c>
      <c r="K11" s="159"/>
      <c r="L11" s="156"/>
      <c r="M11" s="153"/>
    </row>
    <row r="12" spans="1:14" s="135" customFormat="1" ht="12" customHeight="1">
      <c r="A12" s="154"/>
      <c r="B12" s="161">
        <f>'Customs Invoice'!B12</f>
        <v>0</v>
      </c>
      <c r="C12" s="155"/>
      <c r="D12" s="161"/>
      <c r="E12" s="161"/>
      <c r="F12" s="161"/>
      <c r="G12" s="161"/>
      <c r="H12" s="156"/>
      <c r="I12" s="149" t="s">
        <v>12</v>
      </c>
      <c r="J12" s="162"/>
      <c r="K12" s="150"/>
      <c r="L12" s="151"/>
      <c r="M12" s="153"/>
    </row>
    <row r="13" spans="1:14" s="135" customFormat="1" ht="12" customHeight="1">
      <c r="A13" s="154"/>
      <c r="B13" s="161">
        <f>'Customs Invoice'!B13</f>
        <v>0</v>
      </c>
      <c r="C13" s="155"/>
      <c r="D13" s="161"/>
      <c r="E13" s="161"/>
      <c r="F13" s="161"/>
      <c r="G13" s="161"/>
      <c r="H13" s="156"/>
      <c r="I13" s="145" t="s">
        <v>13</v>
      </c>
      <c r="J13" s="157" t="s">
        <v>14</v>
      </c>
      <c r="K13" s="147" t="s">
        <v>15</v>
      </c>
      <c r="L13" s="148"/>
      <c r="M13" s="153"/>
    </row>
    <row r="14" spans="1:14" s="135" customFormat="1" ht="12" customHeight="1">
      <c r="A14" s="158"/>
      <c r="B14" s="163">
        <f>'Customs Invoice'!B14</f>
        <v>0</v>
      </c>
      <c r="C14" s="163"/>
      <c r="D14" s="159"/>
      <c r="E14" s="159"/>
      <c r="F14" s="159"/>
      <c r="G14" s="159"/>
      <c r="H14" s="160"/>
      <c r="I14" s="154"/>
      <c r="J14" s="155" t="s">
        <v>16</v>
      </c>
      <c r="K14" s="155"/>
      <c r="L14" s="156"/>
      <c r="M14" s="153"/>
    </row>
    <row r="15" spans="1:14" s="135" customFormat="1" ht="12" customHeight="1">
      <c r="A15" s="164" t="s">
        <v>17</v>
      </c>
      <c r="B15" s="165">
        <f>'Customs Invoice'!B15</f>
        <v>0</v>
      </c>
      <c r="C15" s="166"/>
      <c r="D15" s="167" t="s">
        <v>18</v>
      </c>
      <c r="E15" s="167"/>
      <c r="F15" s="167"/>
      <c r="G15" s="167"/>
      <c r="H15" s="151"/>
      <c r="I15" s="154"/>
      <c r="J15" s="155" t="s">
        <v>19</v>
      </c>
      <c r="K15" s="220"/>
      <c r="L15" s="168"/>
      <c r="M15" s="153"/>
    </row>
    <row r="16" spans="1:14" s="135" customFormat="1" ht="12" customHeight="1">
      <c r="A16" s="149" t="s">
        <v>20</v>
      </c>
      <c r="B16" s="162">
        <f>'Customs Invoice'!B16</f>
        <v>0</v>
      </c>
      <c r="C16" s="169"/>
      <c r="D16" s="150" t="s">
        <v>21</v>
      </c>
      <c r="E16" s="150"/>
      <c r="F16" s="150"/>
      <c r="G16" s="150"/>
      <c r="H16" s="151"/>
      <c r="I16" s="158"/>
      <c r="J16" s="159" t="s">
        <v>22</v>
      </c>
      <c r="K16" s="221">
        <f>'Customs Invoice'!L16</f>
        <v>1</v>
      </c>
      <c r="L16" s="170"/>
      <c r="M16" s="153"/>
    </row>
    <row r="17" spans="1:14" s="135" customFormat="1" ht="12" customHeight="1">
      <c r="A17" s="171" t="str">
        <f>'Customs Invoice'!A17</f>
        <v>To  :</v>
      </c>
      <c r="B17" s="150"/>
      <c r="C17" s="150"/>
      <c r="D17" s="150"/>
      <c r="E17" s="150"/>
      <c r="F17" s="150"/>
      <c r="G17" s="150"/>
      <c r="H17" s="151"/>
      <c r="I17" s="149" t="s">
        <v>24</v>
      </c>
      <c r="J17" s="162" t="s">
        <v>25</v>
      </c>
      <c r="K17" s="150"/>
      <c r="L17" s="151"/>
      <c r="M17" s="153"/>
    </row>
    <row r="18" spans="1:14" s="135" customFormat="1" ht="15" customHeight="1">
      <c r="A18" s="172"/>
      <c r="B18" s="173" t="str">
        <f>CONCATENATE("PT Veronique to US_",LEFT('Customs Invoice'!K4,13)," Customs Invoice_New Merchandise")</f>
        <v>PT Veronique to US_ Customs Invoice_New Merchandise</v>
      </c>
      <c r="C18" s="173"/>
      <c r="D18" s="173"/>
      <c r="E18" s="173"/>
      <c r="F18" s="173"/>
      <c r="G18" s="173"/>
      <c r="H18" s="174"/>
      <c r="I18" s="175"/>
      <c r="J18" s="173"/>
      <c r="K18" s="175"/>
      <c r="L18" s="175"/>
      <c r="M18" s="152"/>
      <c r="N18" s="153"/>
    </row>
    <row r="19" spans="1:14" s="135" customFormat="1" ht="25.5" customHeight="1" thickBot="1">
      <c r="A19" s="175"/>
      <c r="B19" s="176" t="s">
        <v>26</v>
      </c>
      <c r="C19" s="375"/>
      <c r="D19" s="177"/>
      <c r="E19" s="173"/>
      <c r="F19" s="173"/>
      <c r="G19" s="173"/>
      <c r="H19" s="173"/>
      <c r="I19" s="117"/>
      <c r="J19" s="376"/>
      <c r="K19" s="179"/>
      <c r="L19" s="179"/>
      <c r="M19" s="152"/>
      <c r="N19" s="153"/>
    </row>
    <row r="20" spans="1:14" s="135" customFormat="1" ht="41" customHeight="1" thickBot="1">
      <c r="A20" s="180"/>
      <c r="B20" s="181" t="s">
        <v>27</v>
      </c>
      <c r="C20" s="377" t="s">
        <v>131</v>
      </c>
      <c r="D20" s="377" t="s">
        <v>132</v>
      </c>
      <c r="E20" s="378" t="s">
        <v>133</v>
      </c>
      <c r="F20" s="378" t="s">
        <v>31</v>
      </c>
      <c r="G20" s="445" t="s">
        <v>134</v>
      </c>
      <c r="H20" s="446"/>
      <c r="I20" s="378" t="s">
        <v>33</v>
      </c>
      <c r="J20" s="184" t="s">
        <v>34</v>
      </c>
      <c r="K20" s="186" t="s">
        <v>171</v>
      </c>
      <c r="L20" s="152"/>
      <c r="M20" s="153"/>
    </row>
    <row r="21" spans="1:14" s="135" customFormat="1" ht="18" customHeight="1">
      <c r="A21" s="175"/>
      <c r="B21" s="447">
        <f>'Customs Invoice'!B21</f>
        <v>1</v>
      </c>
      <c r="C21" s="449" t="e">
        <f>'Customs Invoice'!C21</f>
        <v>#N/A</v>
      </c>
      <c r="D21" s="379" t="e">
        <f>VLOOKUP(F21,Sheet2!$A$2:$D$31,4,0)</f>
        <v>#N/A</v>
      </c>
      <c r="E21" s="451" t="e">
        <f>'Customs Invoice'!E21</f>
        <v>#N/A</v>
      </c>
      <c r="F21" s="187">
        <f>'Customs Invoice'!F21</f>
        <v>0</v>
      </c>
      <c r="G21" s="452">
        <f>'Customs Invoice'!G21</f>
        <v>0</v>
      </c>
      <c r="H21" s="454" t="e">
        <f>'Customs Invoice'!H21</f>
        <v>#N/A</v>
      </c>
      <c r="I21" s="456">
        <f>'Customs Invoice'!I21</f>
        <v>0</v>
      </c>
      <c r="J21" s="456" t="e">
        <f>'Customs Invoice'!J21</f>
        <v>#DIV/0!</v>
      </c>
      <c r="K21" s="458">
        <f>'Customs Invoice'!M21</f>
        <v>0</v>
      </c>
      <c r="L21" s="152"/>
      <c r="M21" s="153"/>
    </row>
    <row r="22" spans="1:14" s="135" customFormat="1" ht="18" customHeight="1">
      <c r="A22" s="175"/>
      <c r="B22" s="448"/>
      <c r="C22" s="450"/>
      <c r="D22" s="380" t="e">
        <f>VLOOKUP(F22,Sheet2!$A$2:$D$31,4,0)</f>
        <v>#N/A</v>
      </c>
      <c r="E22" s="449"/>
      <c r="F22" s="188" t="str">
        <f>F21&amp;1</f>
        <v>01</v>
      </c>
      <c r="G22" s="453"/>
      <c r="H22" s="455"/>
      <c r="I22" s="457"/>
      <c r="J22" s="457"/>
      <c r="K22" s="459"/>
      <c r="L22" s="152"/>
      <c r="M22" s="153"/>
    </row>
    <row r="23" spans="1:14" s="135" customFormat="1" ht="18" customHeight="1">
      <c r="A23" s="175"/>
      <c r="B23" s="448">
        <f>'Customs Invoice'!B22</f>
        <v>2</v>
      </c>
      <c r="C23" s="449" t="e">
        <f>'Customs Invoice'!C22</f>
        <v>#N/A</v>
      </c>
      <c r="D23" s="380" t="e">
        <f>VLOOKUP(F23,Sheet2!$A$2:$D$31,4,0)</f>
        <v>#N/A</v>
      </c>
      <c r="E23" s="450" t="e">
        <f>'Customs Invoice'!E22</f>
        <v>#N/A</v>
      </c>
      <c r="F23" s="188">
        <f>'Customs Invoice'!F22</f>
        <v>0</v>
      </c>
      <c r="G23" s="462">
        <f>'Customs Invoice'!G22</f>
        <v>0</v>
      </c>
      <c r="H23" s="463" t="e">
        <f>'Customs Invoice'!H22</f>
        <v>#N/A</v>
      </c>
      <c r="I23" s="464">
        <f>'Customs Invoice'!I22</f>
        <v>0</v>
      </c>
      <c r="J23" s="464">
        <f>'Customs Invoice'!J22</f>
        <v>0</v>
      </c>
      <c r="K23" s="467">
        <f>'Customs Invoice'!M22</f>
        <v>0</v>
      </c>
      <c r="L23" s="152"/>
      <c r="M23" s="153"/>
    </row>
    <row r="24" spans="1:14" s="135" customFormat="1" ht="18" customHeight="1">
      <c r="A24" s="175"/>
      <c r="B24" s="448"/>
      <c r="C24" s="450"/>
      <c r="D24" s="380" t="e">
        <f>VLOOKUP(F24,Sheet2!$A$2:$D$31,4,0)</f>
        <v>#N/A</v>
      </c>
      <c r="E24" s="450"/>
      <c r="F24" s="188" t="str">
        <f>F23&amp;1</f>
        <v>01</v>
      </c>
      <c r="G24" s="462"/>
      <c r="H24" s="463"/>
      <c r="I24" s="464"/>
      <c r="J24" s="464"/>
      <c r="K24" s="459"/>
      <c r="L24" s="152"/>
      <c r="M24" s="153"/>
    </row>
    <row r="25" spans="1:14" s="135" customFormat="1" ht="18" customHeight="1">
      <c r="A25" s="175"/>
      <c r="B25" s="448">
        <f>'Customs Invoice'!B23</f>
        <v>3</v>
      </c>
      <c r="C25" s="449" t="e">
        <f>'Customs Invoice'!C23</f>
        <v>#N/A</v>
      </c>
      <c r="D25" s="380" t="e">
        <f>VLOOKUP(F25,Sheet2!$A$2:$D$31,4,0)</f>
        <v>#N/A</v>
      </c>
      <c r="E25" s="450" t="e">
        <f>'Customs Invoice'!E23</f>
        <v>#N/A</v>
      </c>
      <c r="F25" s="188">
        <f>'Customs Invoice'!F23</f>
        <v>0</v>
      </c>
      <c r="G25" s="462">
        <f>'Customs Invoice'!G23</f>
        <v>0</v>
      </c>
      <c r="H25" s="463" t="e">
        <f>'Customs Invoice'!H23</f>
        <v>#N/A</v>
      </c>
      <c r="I25" s="464">
        <f>'Customs Invoice'!I23</f>
        <v>0</v>
      </c>
      <c r="J25" s="464">
        <f>'Customs Invoice'!J23</f>
        <v>0</v>
      </c>
      <c r="K25" s="467">
        <f>'Customs Invoice'!M23</f>
        <v>0</v>
      </c>
      <c r="L25" s="152"/>
      <c r="M25" s="153"/>
    </row>
    <row r="26" spans="1:14" s="135" customFormat="1" ht="18" customHeight="1">
      <c r="A26" s="175"/>
      <c r="B26" s="448"/>
      <c r="C26" s="450"/>
      <c r="D26" s="380" t="e">
        <f>VLOOKUP(F26,Sheet2!$A$2:$D$31,4,0)</f>
        <v>#N/A</v>
      </c>
      <c r="E26" s="450"/>
      <c r="F26" s="188" t="str">
        <f>F25&amp;1</f>
        <v>01</v>
      </c>
      <c r="G26" s="462"/>
      <c r="H26" s="463"/>
      <c r="I26" s="464"/>
      <c r="J26" s="464"/>
      <c r="K26" s="459"/>
      <c r="L26" s="152"/>
      <c r="M26" s="153"/>
    </row>
    <row r="27" spans="1:14" s="135" customFormat="1" ht="18" customHeight="1">
      <c r="A27" s="175"/>
      <c r="B27" s="448">
        <f>'Customs Invoice'!B24</f>
        <v>4</v>
      </c>
      <c r="C27" s="449" t="e">
        <f>'Customs Invoice'!C24</f>
        <v>#N/A</v>
      </c>
      <c r="D27" s="380" t="e">
        <f>VLOOKUP(F27,Sheet2!$A$2:$D$31,4,0)</f>
        <v>#N/A</v>
      </c>
      <c r="E27" s="450" t="e">
        <f>'Customs Invoice'!E24</f>
        <v>#N/A</v>
      </c>
      <c r="F27" s="188">
        <f>'Customs Invoice'!F24</f>
        <v>0</v>
      </c>
      <c r="G27" s="462">
        <f>'Customs Invoice'!G24</f>
        <v>0</v>
      </c>
      <c r="H27" s="463" t="e">
        <f>'Customs Invoice'!H24</f>
        <v>#N/A</v>
      </c>
      <c r="I27" s="464">
        <f>'Customs Invoice'!I24</f>
        <v>0</v>
      </c>
      <c r="J27" s="464">
        <f>'Customs Invoice'!J24</f>
        <v>0</v>
      </c>
      <c r="K27" s="467">
        <f>'Customs Invoice'!M24</f>
        <v>0</v>
      </c>
      <c r="L27" s="152"/>
      <c r="M27" s="153"/>
    </row>
    <row r="28" spans="1:14" s="135" customFormat="1" ht="18" customHeight="1">
      <c r="A28" s="175"/>
      <c r="B28" s="448"/>
      <c r="C28" s="450"/>
      <c r="D28" s="380" t="e">
        <f>VLOOKUP(F28,Sheet2!$A$2:$D$31,4,0)</f>
        <v>#N/A</v>
      </c>
      <c r="E28" s="450"/>
      <c r="F28" s="188" t="str">
        <f>F27&amp;1</f>
        <v>01</v>
      </c>
      <c r="G28" s="462"/>
      <c r="H28" s="463"/>
      <c r="I28" s="464"/>
      <c r="J28" s="464"/>
      <c r="K28" s="459"/>
      <c r="L28" s="152"/>
      <c r="M28" s="153"/>
    </row>
    <row r="29" spans="1:14" s="135" customFormat="1" ht="18" customHeight="1">
      <c r="A29" s="175"/>
      <c r="B29" s="448">
        <f>'Customs Invoice'!B25</f>
        <v>5</v>
      </c>
      <c r="C29" s="449" t="e">
        <f>'Customs Invoice'!C25</f>
        <v>#N/A</v>
      </c>
      <c r="D29" s="380" t="e">
        <f>VLOOKUP(F29,Sheet2!$A$2:$D$31,4,0)</f>
        <v>#N/A</v>
      </c>
      <c r="E29" s="450" t="e">
        <f>'Customs Invoice'!E25</f>
        <v>#N/A</v>
      </c>
      <c r="F29" s="188">
        <f>'Customs Invoice'!F25</f>
        <v>0</v>
      </c>
      <c r="G29" s="462">
        <f>'Customs Invoice'!G25</f>
        <v>0</v>
      </c>
      <c r="H29" s="463" t="e">
        <f>'Customs Invoice'!H25</f>
        <v>#N/A</v>
      </c>
      <c r="I29" s="464">
        <f>'Customs Invoice'!I25</f>
        <v>0</v>
      </c>
      <c r="J29" s="464">
        <f>'Customs Invoice'!J25</f>
        <v>0</v>
      </c>
      <c r="K29" s="467">
        <f>'Customs Invoice'!M25</f>
        <v>0</v>
      </c>
      <c r="L29" s="152"/>
      <c r="M29" s="153"/>
    </row>
    <row r="30" spans="1:14" s="135" customFormat="1" ht="18" customHeight="1">
      <c r="A30" s="175"/>
      <c r="B30" s="448"/>
      <c r="C30" s="450"/>
      <c r="D30" s="380" t="e">
        <f>VLOOKUP(F30,Sheet2!$A$2:$D$31,4,0)</f>
        <v>#N/A</v>
      </c>
      <c r="E30" s="450"/>
      <c r="F30" s="188" t="str">
        <f>F29&amp;1</f>
        <v>01</v>
      </c>
      <c r="G30" s="462"/>
      <c r="H30" s="463"/>
      <c r="I30" s="464"/>
      <c r="J30" s="464"/>
      <c r="K30" s="459"/>
      <c r="L30" s="152"/>
      <c r="M30" s="153"/>
    </row>
    <row r="31" spans="1:14" s="135" customFormat="1" ht="18" customHeight="1">
      <c r="A31" s="175"/>
      <c r="B31" s="448">
        <f>'Customs Invoice'!B26</f>
        <v>6</v>
      </c>
      <c r="C31" s="449" t="e">
        <f>'Customs Invoice'!C26</f>
        <v>#N/A</v>
      </c>
      <c r="D31" s="380" t="e">
        <f>VLOOKUP(F31,Sheet2!$A$2:$D$31,4,0)</f>
        <v>#N/A</v>
      </c>
      <c r="E31" s="450" t="e">
        <f>'Customs Invoice'!E26</f>
        <v>#N/A</v>
      </c>
      <c r="F31" s="188">
        <f>'Customs Invoice'!F26</f>
        <v>0</v>
      </c>
      <c r="G31" s="462">
        <f>'Customs Invoice'!G26</f>
        <v>0</v>
      </c>
      <c r="H31" s="463" t="e">
        <f>'Customs Invoice'!H26</f>
        <v>#N/A</v>
      </c>
      <c r="I31" s="464">
        <f>'Customs Invoice'!I26</f>
        <v>0</v>
      </c>
      <c r="J31" s="464">
        <f>'Customs Invoice'!J26</f>
        <v>0</v>
      </c>
      <c r="K31" s="467">
        <f>'Customs Invoice'!M26</f>
        <v>0</v>
      </c>
      <c r="L31" s="152"/>
      <c r="M31" s="153"/>
    </row>
    <row r="32" spans="1:14" s="135" customFormat="1" ht="18" customHeight="1">
      <c r="A32" s="175"/>
      <c r="B32" s="448"/>
      <c r="C32" s="450"/>
      <c r="D32" s="380" t="e">
        <f>VLOOKUP(F32,Sheet2!$A$2:$D$31,4,0)</f>
        <v>#N/A</v>
      </c>
      <c r="E32" s="450"/>
      <c r="F32" s="188" t="str">
        <f>F31&amp;1</f>
        <v>01</v>
      </c>
      <c r="G32" s="462"/>
      <c r="H32" s="463"/>
      <c r="I32" s="464"/>
      <c r="J32" s="464"/>
      <c r="K32" s="459"/>
      <c r="L32" s="152"/>
      <c r="M32" s="153"/>
    </row>
    <row r="33" spans="1:14" s="135" customFormat="1" ht="18" customHeight="1">
      <c r="A33" s="175"/>
      <c r="B33" s="448">
        <f>'Customs Invoice'!B27</f>
        <v>7</v>
      </c>
      <c r="C33" s="449" t="e">
        <f>'Customs Invoice'!C27</f>
        <v>#N/A</v>
      </c>
      <c r="D33" s="380" t="e">
        <f>VLOOKUP(F33,Sheet2!$A$2:$D$31,4,0)</f>
        <v>#N/A</v>
      </c>
      <c r="E33" s="450" t="e">
        <f>'Customs Invoice'!E27</f>
        <v>#N/A</v>
      </c>
      <c r="F33" s="188">
        <f>'Customs Invoice'!F27</f>
        <v>0</v>
      </c>
      <c r="G33" s="462">
        <f>'Customs Invoice'!G27</f>
        <v>0</v>
      </c>
      <c r="H33" s="463" t="e">
        <f>'Customs Invoice'!H27</f>
        <v>#N/A</v>
      </c>
      <c r="I33" s="464">
        <f>'Customs Invoice'!I27</f>
        <v>0</v>
      </c>
      <c r="J33" s="464">
        <f>'Customs Invoice'!J27</f>
        <v>0</v>
      </c>
      <c r="K33" s="467">
        <f>'Customs Invoice'!M27</f>
        <v>0</v>
      </c>
      <c r="L33" s="152"/>
      <c r="M33" s="153"/>
    </row>
    <row r="34" spans="1:14" s="135" customFormat="1" ht="18" customHeight="1">
      <c r="A34" s="175"/>
      <c r="B34" s="448"/>
      <c r="C34" s="450"/>
      <c r="D34" s="380" t="e">
        <f>VLOOKUP(F34,Sheet2!$A$2:$D$31,4,0)</f>
        <v>#N/A</v>
      </c>
      <c r="E34" s="450"/>
      <c r="F34" s="188" t="str">
        <f>F33&amp;1</f>
        <v>01</v>
      </c>
      <c r="G34" s="462"/>
      <c r="H34" s="463"/>
      <c r="I34" s="464"/>
      <c r="J34" s="464"/>
      <c r="K34" s="459"/>
      <c r="L34" s="152"/>
      <c r="M34" s="153"/>
    </row>
    <row r="35" spans="1:14" s="135" customFormat="1" ht="18" customHeight="1">
      <c r="A35" s="175"/>
      <c r="B35" s="448">
        <f>'Customs Invoice'!B28</f>
        <v>8</v>
      </c>
      <c r="C35" s="449" t="e">
        <f>'Customs Invoice'!C28</f>
        <v>#N/A</v>
      </c>
      <c r="D35" s="380" t="e">
        <f>VLOOKUP(F35,Sheet2!$A$2:$D$31,4,0)</f>
        <v>#N/A</v>
      </c>
      <c r="E35" s="450" t="e">
        <f>'Customs Invoice'!E28</f>
        <v>#N/A</v>
      </c>
      <c r="F35" s="188">
        <f>'Customs Invoice'!F28</f>
        <v>0</v>
      </c>
      <c r="G35" s="462">
        <f>'Customs Invoice'!G28</f>
        <v>0</v>
      </c>
      <c r="H35" s="463" t="e">
        <f>'Customs Invoice'!H28</f>
        <v>#N/A</v>
      </c>
      <c r="I35" s="464">
        <f>'Customs Invoice'!I28</f>
        <v>0</v>
      </c>
      <c r="J35" s="464">
        <f>'Customs Invoice'!J28</f>
        <v>0</v>
      </c>
      <c r="K35" s="467">
        <f>'Customs Invoice'!M28</f>
        <v>0</v>
      </c>
      <c r="L35" s="152"/>
      <c r="M35" s="153"/>
    </row>
    <row r="36" spans="1:14" s="135" customFormat="1" ht="18" customHeight="1">
      <c r="A36" s="175"/>
      <c r="B36" s="448"/>
      <c r="C36" s="450"/>
      <c r="D36" s="380" t="e">
        <f>VLOOKUP(F36,Sheet2!$A$2:$D$31,4,0)</f>
        <v>#N/A</v>
      </c>
      <c r="E36" s="450"/>
      <c r="F36" s="188" t="str">
        <f>F35&amp;1</f>
        <v>01</v>
      </c>
      <c r="G36" s="462"/>
      <c r="H36" s="463"/>
      <c r="I36" s="464"/>
      <c r="J36" s="464"/>
      <c r="K36" s="459"/>
      <c r="L36" s="152"/>
      <c r="M36" s="153"/>
    </row>
    <row r="37" spans="1:14" s="135" customFormat="1" ht="18" customHeight="1">
      <c r="A37" s="175"/>
      <c r="B37" s="448">
        <f>'Customs Invoice'!B29</f>
        <v>9</v>
      </c>
      <c r="C37" s="449" t="e">
        <f>'Customs Invoice'!C29</f>
        <v>#N/A</v>
      </c>
      <c r="D37" s="380" t="e">
        <f>VLOOKUP(F37,Sheet2!$A$2:$D$31,4,0)</f>
        <v>#N/A</v>
      </c>
      <c r="E37" s="450" t="e">
        <f>'Customs Invoice'!E29</f>
        <v>#N/A</v>
      </c>
      <c r="F37" s="188">
        <f>'Customs Invoice'!F29</f>
        <v>0</v>
      </c>
      <c r="G37" s="462">
        <f>'Customs Invoice'!G29</f>
        <v>0</v>
      </c>
      <c r="H37" s="463" t="e">
        <f>'Customs Invoice'!H29</f>
        <v>#N/A</v>
      </c>
      <c r="I37" s="464">
        <f>'Customs Invoice'!I29</f>
        <v>0</v>
      </c>
      <c r="J37" s="464">
        <f>'Customs Invoice'!J29</f>
        <v>0</v>
      </c>
      <c r="K37" s="467">
        <f>'Customs Invoice'!M29</f>
        <v>0</v>
      </c>
      <c r="L37" s="152"/>
      <c r="M37" s="153"/>
    </row>
    <row r="38" spans="1:14" s="135" customFormat="1" ht="18" customHeight="1">
      <c r="A38" s="175"/>
      <c r="B38" s="448"/>
      <c r="C38" s="450"/>
      <c r="D38" s="380" t="e">
        <f>VLOOKUP(F38,Sheet2!$A$2:$D$31,4,0)</f>
        <v>#N/A</v>
      </c>
      <c r="E38" s="450"/>
      <c r="F38" s="188" t="str">
        <f>F37&amp;1</f>
        <v>01</v>
      </c>
      <c r="G38" s="462"/>
      <c r="H38" s="463"/>
      <c r="I38" s="464"/>
      <c r="J38" s="464"/>
      <c r="K38" s="459"/>
      <c r="L38" s="152"/>
      <c r="M38" s="153"/>
    </row>
    <row r="39" spans="1:14" s="135" customFormat="1" ht="18" customHeight="1">
      <c r="A39" s="175"/>
      <c r="B39" s="448">
        <f>'Customs Invoice'!B30</f>
        <v>10</v>
      </c>
      <c r="C39" s="449" t="e">
        <f>'Customs Invoice'!C30</f>
        <v>#N/A</v>
      </c>
      <c r="D39" s="380" t="e">
        <f>VLOOKUP(F39,Sheet2!$A$2:$D$31,4,0)</f>
        <v>#N/A</v>
      </c>
      <c r="E39" s="450" t="e">
        <f>'Customs Invoice'!E30</f>
        <v>#N/A</v>
      </c>
      <c r="F39" s="188" t="str">
        <f>'Customs Invoice'!F30</f>
        <v>-</v>
      </c>
      <c r="G39" s="462">
        <f>'Customs Invoice'!G30</f>
        <v>0</v>
      </c>
      <c r="H39" s="463" t="e">
        <f>'Customs Invoice'!H30</f>
        <v>#N/A</v>
      </c>
      <c r="I39" s="464">
        <f>'Customs Invoice'!I30</f>
        <v>0</v>
      </c>
      <c r="J39" s="464">
        <f>'Customs Invoice'!J30</f>
        <v>0</v>
      </c>
      <c r="K39" s="467">
        <f>'Customs Invoice'!M30</f>
        <v>0</v>
      </c>
      <c r="L39" s="152"/>
      <c r="M39" s="153"/>
    </row>
    <row r="40" spans="1:14" s="135" customFormat="1" ht="18" customHeight="1" thickBot="1">
      <c r="A40" s="175"/>
      <c r="B40" s="470"/>
      <c r="C40" s="450"/>
      <c r="D40" s="381" t="e">
        <f>VLOOKUP(F40,Sheet2!$A$2:$D$31,4,0)</f>
        <v>#N/A</v>
      </c>
      <c r="E40" s="471"/>
      <c r="F40" s="190" t="str">
        <f>F39&amp;1</f>
        <v>-1</v>
      </c>
      <c r="G40" s="472"/>
      <c r="H40" s="473"/>
      <c r="I40" s="466"/>
      <c r="J40" s="466"/>
      <c r="K40" s="491"/>
      <c r="L40" s="152"/>
      <c r="M40" s="153"/>
    </row>
    <row r="41" spans="1:14" s="135" customFormat="1" ht="30" customHeight="1" thickBot="1">
      <c r="A41" s="175"/>
      <c r="B41" s="468" t="s">
        <v>38</v>
      </c>
      <c r="C41" s="469"/>
      <c r="D41" s="469"/>
      <c r="E41" s="469"/>
      <c r="F41" s="191"/>
      <c r="G41" s="476">
        <f>SUM(G21:G40)</f>
        <v>0</v>
      </c>
      <c r="H41" s="477"/>
      <c r="I41" s="192">
        <f>SUM(I21:I40)</f>
        <v>0</v>
      </c>
      <c r="J41" s="192" t="e">
        <f>SUM(J21:J40)</f>
        <v>#DIV/0!</v>
      </c>
      <c r="K41" s="193">
        <f>SUM(K21:K40)</f>
        <v>0</v>
      </c>
      <c r="M41" s="152"/>
      <c r="N41" s="153"/>
    </row>
    <row r="42" spans="1:14" s="135" customFormat="1" ht="29.5" hidden="1" customHeight="1">
      <c r="A42" s="172"/>
      <c r="B42" s="114"/>
      <c r="C42" s="119"/>
      <c r="D42" s="114"/>
      <c r="E42" s="114"/>
      <c r="F42" s="114"/>
      <c r="G42" s="114"/>
      <c r="H42" s="116"/>
      <c r="I42" s="115"/>
      <c r="J42" s="114"/>
      <c r="K42" s="115"/>
      <c r="L42" s="115"/>
      <c r="M42" s="152"/>
      <c r="N42" s="153"/>
    </row>
    <row r="43" spans="1:14" s="135" customFormat="1" ht="25.5" hidden="1" customHeight="1" thickBot="1">
      <c r="A43" s="175"/>
      <c r="B43" s="176" t="s">
        <v>39</v>
      </c>
      <c r="C43" s="375"/>
      <c r="D43" s="177"/>
      <c r="E43" s="173"/>
      <c r="F43" s="173"/>
      <c r="G43" s="173"/>
      <c r="H43" s="173"/>
      <c r="I43" s="117"/>
      <c r="J43" s="376"/>
      <c r="K43" s="179"/>
      <c r="L43" s="179"/>
      <c r="M43" s="152"/>
      <c r="N43" s="153"/>
    </row>
    <row r="44" spans="1:14" s="135" customFormat="1" ht="41" hidden="1" customHeight="1" thickBot="1">
      <c r="A44" s="180"/>
      <c r="B44" s="181" t="s">
        <v>27</v>
      </c>
      <c r="C44" s="377" t="s">
        <v>131</v>
      </c>
      <c r="D44" s="377" t="s">
        <v>132</v>
      </c>
      <c r="E44" s="378" t="s">
        <v>133</v>
      </c>
      <c r="F44" s="378" t="s">
        <v>31</v>
      </c>
      <c r="G44" s="445" t="s">
        <v>134</v>
      </c>
      <c r="H44" s="446"/>
      <c r="I44" s="378" t="s">
        <v>33</v>
      </c>
      <c r="J44" s="184" t="s">
        <v>34</v>
      </c>
      <c r="K44" s="185" t="s">
        <v>135</v>
      </c>
      <c r="L44" s="186" t="s">
        <v>136</v>
      </c>
      <c r="M44" s="152"/>
      <c r="N44" s="153"/>
    </row>
    <row r="45" spans="1:14" s="135" customFormat="1" ht="18" hidden="1" customHeight="1">
      <c r="A45" s="175"/>
      <c r="B45" s="447">
        <f>'Customs Invoice'!B45</f>
        <v>0</v>
      </c>
      <c r="C45" s="449" t="e">
        <f>'Customs Invoice'!C45</f>
        <v>#N/A</v>
      </c>
      <c r="D45" s="379" t="e">
        <f>VLOOKUP(F45,Sheet2!$A$2:$D$31,4,0)</f>
        <v>#N/A</v>
      </c>
      <c r="E45" s="451" t="e">
        <f>'Customs Invoice'!E45</f>
        <v>#N/A</v>
      </c>
      <c r="F45" s="187">
        <f>'Customs Invoice'!F45</f>
        <v>0</v>
      </c>
      <c r="G45" s="452">
        <f>'Customs Invoice'!G45</f>
        <v>0</v>
      </c>
      <c r="H45" s="454" t="e">
        <f>'Customs Invoice'!H45</f>
        <v>#N/A</v>
      </c>
      <c r="I45" s="456">
        <f>'Customs Invoice'!I45</f>
        <v>0</v>
      </c>
      <c r="J45" s="456">
        <f>'Customs Invoice'!J45</f>
        <v>0</v>
      </c>
      <c r="K45" s="474" t="e">
        <f t="shared" ref="K45" si="0">L45/G45</f>
        <v>#DIV/0!</v>
      </c>
      <c r="L45" s="458">
        <f>'Customs Invoice'!P45</f>
        <v>0</v>
      </c>
      <c r="M45" s="152"/>
      <c r="N45" s="153"/>
    </row>
    <row r="46" spans="1:14" s="135" customFormat="1" ht="18" hidden="1" customHeight="1">
      <c r="A46" s="175"/>
      <c r="B46" s="448"/>
      <c r="C46" s="450"/>
      <c r="D46" s="380" t="e">
        <f>VLOOKUP(F46,Sheet2!$A$2:$D$31,4,0)</f>
        <v>#N/A</v>
      </c>
      <c r="E46" s="449"/>
      <c r="F46" s="188" t="str">
        <f>F45&amp;1</f>
        <v>01</v>
      </c>
      <c r="G46" s="453"/>
      <c r="H46" s="455"/>
      <c r="I46" s="457"/>
      <c r="J46" s="457"/>
      <c r="K46" s="475"/>
      <c r="L46" s="459"/>
      <c r="M46" s="152"/>
      <c r="N46" s="153"/>
    </row>
    <row r="47" spans="1:14" s="135" customFormat="1" ht="18" hidden="1" customHeight="1">
      <c r="A47" s="175"/>
      <c r="B47" s="448">
        <f>'Customs Invoice'!B46</f>
        <v>0</v>
      </c>
      <c r="C47" s="449" t="e">
        <f>'Customs Invoice'!C46</f>
        <v>#N/A</v>
      </c>
      <c r="D47" s="380" t="e">
        <f>VLOOKUP(F47,Sheet2!$A$2:$D$31,4,0)</f>
        <v>#N/A</v>
      </c>
      <c r="E47" s="450" t="e">
        <f>'Customs Invoice'!E46</f>
        <v>#N/A</v>
      </c>
      <c r="F47" s="188">
        <f>'Customs Invoice'!F46</f>
        <v>0</v>
      </c>
      <c r="G47" s="462">
        <f>'Customs Invoice'!G46</f>
        <v>0</v>
      </c>
      <c r="H47" s="463" t="e">
        <f>'Customs Invoice'!H46</f>
        <v>#N/A</v>
      </c>
      <c r="I47" s="464">
        <f>'Customs Invoice'!I46</f>
        <v>0</v>
      </c>
      <c r="J47" s="464">
        <f>'Customs Invoice'!J46</f>
        <v>0</v>
      </c>
      <c r="K47" s="478" t="e">
        <f t="shared" ref="K47" si="1">L47/G47</f>
        <v>#DIV/0!</v>
      </c>
      <c r="L47" s="465">
        <f>'Customs Invoice'!P46</f>
        <v>0</v>
      </c>
      <c r="M47" s="152"/>
      <c r="N47" s="153"/>
    </row>
    <row r="48" spans="1:14" s="135" customFormat="1" ht="18" hidden="1" customHeight="1">
      <c r="A48" s="175"/>
      <c r="B48" s="448"/>
      <c r="C48" s="450"/>
      <c r="D48" s="380" t="e">
        <f>VLOOKUP(F48,Sheet2!$A$2:$D$31,4,0)</f>
        <v>#N/A</v>
      </c>
      <c r="E48" s="450"/>
      <c r="F48" s="188" t="str">
        <f>F47&amp;1</f>
        <v>01</v>
      </c>
      <c r="G48" s="462"/>
      <c r="H48" s="463"/>
      <c r="I48" s="464"/>
      <c r="J48" s="464"/>
      <c r="K48" s="478"/>
      <c r="L48" s="465"/>
      <c r="M48" s="152"/>
      <c r="N48" s="153"/>
    </row>
    <row r="49" spans="1:14" s="135" customFormat="1" ht="18" hidden="1" customHeight="1">
      <c r="A49" s="175"/>
      <c r="B49" s="448">
        <f>'Customs Invoice'!B47</f>
        <v>0</v>
      </c>
      <c r="C49" s="449" t="e">
        <f>'Customs Invoice'!C47</f>
        <v>#N/A</v>
      </c>
      <c r="D49" s="380" t="e">
        <f>VLOOKUP(F49,Sheet2!$A$2:$D$31,4,0)</f>
        <v>#N/A</v>
      </c>
      <c r="E49" s="450" t="e">
        <f>'Customs Invoice'!E47</f>
        <v>#N/A</v>
      </c>
      <c r="F49" s="188">
        <f>'Customs Invoice'!F47</f>
        <v>0</v>
      </c>
      <c r="G49" s="462">
        <f>'Customs Invoice'!G47</f>
        <v>0</v>
      </c>
      <c r="H49" s="463" t="e">
        <f>'Customs Invoice'!H47</f>
        <v>#N/A</v>
      </c>
      <c r="I49" s="464">
        <f>'Customs Invoice'!I47</f>
        <v>0</v>
      </c>
      <c r="J49" s="464">
        <f>'Customs Invoice'!J47</f>
        <v>0</v>
      </c>
      <c r="K49" s="478" t="e">
        <f t="shared" ref="K49" si="2">L49/G49</f>
        <v>#DIV/0!</v>
      </c>
      <c r="L49" s="465">
        <f>'Customs Invoice'!P47</f>
        <v>0</v>
      </c>
      <c r="M49" s="152"/>
      <c r="N49" s="153"/>
    </row>
    <row r="50" spans="1:14" s="135" customFormat="1" ht="18" hidden="1" customHeight="1">
      <c r="A50" s="175"/>
      <c r="B50" s="448"/>
      <c r="C50" s="450"/>
      <c r="D50" s="380" t="e">
        <f>VLOOKUP(F50,Sheet2!$A$2:$D$31,4,0)</f>
        <v>#N/A</v>
      </c>
      <c r="E50" s="450"/>
      <c r="F50" s="188" t="str">
        <f>F49&amp;1</f>
        <v>01</v>
      </c>
      <c r="G50" s="462"/>
      <c r="H50" s="463"/>
      <c r="I50" s="464"/>
      <c r="J50" s="464"/>
      <c r="K50" s="478"/>
      <c r="L50" s="465"/>
      <c r="M50" s="152"/>
      <c r="N50" s="153"/>
    </row>
    <row r="51" spans="1:14" s="135" customFormat="1" ht="18" hidden="1" customHeight="1">
      <c r="A51" s="175"/>
      <c r="B51" s="448">
        <f>'Customs Invoice'!B48</f>
        <v>0</v>
      </c>
      <c r="C51" s="449" t="e">
        <f>'Customs Invoice'!C48</f>
        <v>#N/A</v>
      </c>
      <c r="D51" s="380" t="e">
        <f>VLOOKUP(F51,Sheet2!$A$2:$D$31,4,0)</f>
        <v>#N/A</v>
      </c>
      <c r="E51" s="450" t="e">
        <f>'Customs Invoice'!E48</f>
        <v>#N/A</v>
      </c>
      <c r="F51" s="188">
        <f>'Customs Invoice'!F48</f>
        <v>0</v>
      </c>
      <c r="G51" s="462">
        <f>'Customs Invoice'!G48</f>
        <v>0</v>
      </c>
      <c r="H51" s="463" t="e">
        <f>'Customs Invoice'!H48</f>
        <v>#N/A</v>
      </c>
      <c r="I51" s="464">
        <f>'Customs Invoice'!I48</f>
        <v>0</v>
      </c>
      <c r="J51" s="464">
        <f>'Customs Invoice'!J48</f>
        <v>0</v>
      </c>
      <c r="K51" s="478" t="e">
        <f t="shared" ref="K51" si="3">L51/G51</f>
        <v>#DIV/0!</v>
      </c>
      <c r="L51" s="465">
        <f>'Customs Invoice'!P48</f>
        <v>0</v>
      </c>
      <c r="M51" s="152"/>
      <c r="N51" s="153"/>
    </row>
    <row r="52" spans="1:14" s="135" customFormat="1" ht="18" hidden="1" customHeight="1">
      <c r="A52" s="175"/>
      <c r="B52" s="448"/>
      <c r="C52" s="450"/>
      <c r="D52" s="380" t="e">
        <f>VLOOKUP(F52,Sheet2!$A$2:$D$31,4,0)</f>
        <v>#N/A</v>
      </c>
      <c r="E52" s="450"/>
      <c r="F52" s="188" t="str">
        <f>F51&amp;1</f>
        <v>01</v>
      </c>
      <c r="G52" s="462"/>
      <c r="H52" s="463"/>
      <c r="I52" s="464"/>
      <c r="J52" s="464"/>
      <c r="K52" s="478"/>
      <c r="L52" s="465"/>
      <c r="M52" s="152"/>
      <c r="N52" s="153"/>
    </row>
    <row r="53" spans="1:14" s="135" customFormat="1" ht="18" hidden="1" customHeight="1">
      <c r="A53" s="175"/>
      <c r="B53" s="448">
        <f>'Customs Invoice'!B49</f>
        <v>0</v>
      </c>
      <c r="C53" s="449" t="e">
        <f>'Customs Invoice'!C49</f>
        <v>#N/A</v>
      </c>
      <c r="D53" s="380" t="e">
        <f>VLOOKUP(F53,Sheet2!$A$2:$D$31,4,0)</f>
        <v>#N/A</v>
      </c>
      <c r="E53" s="450" t="e">
        <f>'Customs Invoice'!E49</f>
        <v>#N/A</v>
      </c>
      <c r="F53" s="188">
        <f>'Customs Invoice'!F49</f>
        <v>0</v>
      </c>
      <c r="G53" s="462">
        <f>'Customs Invoice'!G49</f>
        <v>0</v>
      </c>
      <c r="H53" s="463" t="e">
        <f>'Customs Invoice'!H49</f>
        <v>#N/A</v>
      </c>
      <c r="I53" s="464">
        <f>'Customs Invoice'!I49</f>
        <v>0</v>
      </c>
      <c r="J53" s="464">
        <f>'Customs Invoice'!J49</f>
        <v>0</v>
      </c>
      <c r="K53" s="478" t="e">
        <f t="shared" ref="K53" si="4">L53/G53</f>
        <v>#DIV/0!</v>
      </c>
      <c r="L53" s="465">
        <f>'Customs Invoice'!P49</f>
        <v>0</v>
      </c>
      <c r="M53" s="152"/>
      <c r="N53" s="153"/>
    </row>
    <row r="54" spans="1:14" s="135" customFormat="1" ht="18" hidden="1" customHeight="1">
      <c r="A54" s="175"/>
      <c r="B54" s="448"/>
      <c r="C54" s="450"/>
      <c r="D54" s="380" t="e">
        <f>VLOOKUP(F54,Sheet2!$A$2:$D$31,4,0)</f>
        <v>#N/A</v>
      </c>
      <c r="E54" s="450"/>
      <c r="F54" s="188" t="str">
        <f>F53&amp;1</f>
        <v>01</v>
      </c>
      <c r="G54" s="462"/>
      <c r="H54" s="463"/>
      <c r="I54" s="464"/>
      <c r="J54" s="464"/>
      <c r="K54" s="478"/>
      <c r="L54" s="465"/>
      <c r="M54" s="152"/>
      <c r="N54" s="153"/>
    </row>
    <row r="55" spans="1:14" s="135" customFormat="1" ht="18" hidden="1" customHeight="1">
      <c r="A55" s="175"/>
      <c r="B55" s="448">
        <f>'Customs Invoice'!B50</f>
        <v>0</v>
      </c>
      <c r="C55" s="449" t="e">
        <f>'Customs Invoice'!C50</f>
        <v>#N/A</v>
      </c>
      <c r="D55" s="380" t="e">
        <f>VLOOKUP(F55,Sheet2!$A$2:$D$31,4,0)</f>
        <v>#N/A</v>
      </c>
      <c r="E55" s="450" t="e">
        <f>'Customs Invoice'!E50</f>
        <v>#N/A</v>
      </c>
      <c r="F55" s="188">
        <f>'Customs Invoice'!F50</f>
        <v>0</v>
      </c>
      <c r="G55" s="462">
        <f>'Customs Invoice'!G50</f>
        <v>0</v>
      </c>
      <c r="H55" s="463" t="e">
        <f>'Customs Invoice'!H50</f>
        <v>#N/A</v>
      </c>
      <c r="I55" s="464">
        <f>'Customs Invoice'!I50</f>
        <v>0</v>
      </c>
      <c r="J55" s="464">
        <f>'Customs Invoice'!J50</f>
        <v>0</v>
      </c>
      <c r="K55" s="478" t="e">
        <f t="shared" ref="K55" si="5">L55/G55</f>
        <v>#DIV/0!</v>
      </c>
      <c r="L55" s="465">
        <f>'Customs Invoice'!P50</f>
        <v>0</v>
      </c>
      <c r="M55" s="152"/>
      <c r="N55" s="153"/>
    </row>
    <row r="56" spans="1:14" s="135" customFormat="1" ht="18" hidden="1" customHeight="1">
      <c r="A56" s="175"/>
      <c r="B56" s="448"/>
      <c r="C56" s="450"/>
      <c r="D56" s="380" t="e">
        <f>VLOOKUP(F56,Sheet2!$A$2:$D$31,4,0)</f>
        <v>#N/A</v>
      </c>
      <c r="E56" s="450"/>
      <c r="F56" s="188" t="str">
        <f>F55&amp;1</f>
        <v>01</v>
      </c>
      <c r="G56" s="462"/>
      <c r="H56" s="463"/>
      <c r="I56" s="464"/>
      <c r="J56" s="464"/>
      <c r="K56" s="478"/>
      <c r="L56" s="465"/>
      <c r="M56" s="152"/>
      <c r="N56" s="153"/>
    </row>
    <row r="57" spans="1:14" s="135" customFormat="1" ht="18" hidden="1" customHeight="1">
      <c r="A57" s="175"/>
      <c r="B57" s="448">
        <f>'Customs Invoice'!B51</f>
        <v>0</v>
      </c>
      <c r="C57" s="449" t="e">
        <f>'Customs Invoice'!C51</f>
        <v>#N/A</v>
      </c>
      <c r="D57" s="380" t="e">
        <f>VLOOKUP(F57,Sheet2!$A$2:$D$31,4,0)</f>
        <v>#N/A</v>
      </c>
      <c r="E57" s="450" t="e">
        <f>'Customs Invoice'!E51</f>
        <v>#N/A</v>
      </c>
      <c r="F57" s="188">
        <f>'Customs Invoice'!F51</f>
        <v>0</v>
      </c>
      <c r="G57" s="462">
        <f>'Customs Invoice'!G51</f>
        <v>0</v>
      </c>
      <c r="H57" s="463" t="e">
        <f>'Customs Invoice'!H51</f>
        <v>#N/A</v>
      </c>
      <c r="I57" s="464">
        <f>'Customs Invoice'!I51</f>
        <v>0</v>
      </c>
      <c r="J57" s="464">
        <f>'Customs Invoice'!J51</f>
        <v>0</v>
      </c>
      <c r="K57" s="478" t="e">
        <f t="shared" ref="K57" si="6">L57/G57</f>
        <v>#DIV/0!</v>
      </c>
      <c r="L57" s="465">
        <f>'Customs Invoice'!P51</f>
        <v>0</v>
      </c>
      <c r="M57" s="152"/>
      <c r="N57" s="153"/>
    </row>
    <row r="58" spans="1:14" s="135" customFormat="1" ht="18" hidden="1" customHeight="1">
      <c r="A58" s="175"/>
      <c r="B58" s="448"/>
      <c r="C58" s="450"/>
      <c r="D58" s="380" t="e">
        <f>VLOOKUP(F58,Sheet2!$A$2:$D$31,4,0)</f>
        <v>#N/A</v>
      </c>
      <c r="E58" s="450"/>
      <c r="F58" s="188" t="str">
        <f>F57&amp;1</f>
        <v>01</v>
      </c>
      <c r="G58" s="462"/>
      <c r="H58" s="463"/>
      <c r="I58" s="464"/>
      <c r="J58" s="464"/>
      <c r="K58" s="478"/>
      <c r="L58" s="465"/>
      <c r="M58" s="152"/>
      <c r="N58" s="153"/>
    </row>
    <row r="59" spans="1:14" s="135" customFormat="1" ht="18" hidden="1" customHeight="1">
      <c r="A59" s="175"/>
      <c r="B59" s="448">
        <f>'Customs Invoice'!B52</f>
        <v>0</v>
      </c>
      <c r="C59" s="449" t="e">
        <f>'Customs Invoice'!C52</f>
        <v>#N/A</v>
      </c>
      <c r="D59" s="380" t="e">
        <f>VLOOKUP(F59,Sheet2!$A$2:$D$31,4,0)</f>
        <v>#N/A</v>
      </c>
      <c r="E59" s="450" t="e">
        <f>'Customs Invoice'!E52</f>
        <v>#N/A</v>
      </c>
      <c r="F59" s="188">
        <f>'Customs Invoice'!F52</f>
        <v>0</v>
      </c>
      <c r="G59" s="462">
        <f>'Customs Invoice'!G52</f>
        <v>0</v>
      </c>
      <c r="H59" s="463" t="e">
        <f>'Customs Invoice'!H52</f>
        <v>#N/A</v>
      </c>
      <c r="I59" s="464">
        <f>'Customs Invoice'!I52</f>
        <v>0</v>
      </c>
      <c r="J59" s="464">
        <f>'Customs Invoice'!J52</f>
        <v>0</v>
      </c>
      <c r="K59" s="478" t="e">
        <f t="shared" ref="K59" si="7">L59/G59</f>
        <v>#DIV/0!</v>
      </c>
      <c r="L59" s="465">
        <f>'Customs Invoice'!P52</f>
        <v>0</v>
      </c>
      <c r="M59" s="152"/>
      <c r="N59" s="153"/>
    </row>
    <row r="60" spans="1:14" s="135" customFormat="1" ht="18" hidden="1" customHeight="1">
      <c r="A60" s="175"/>
      <c r="B60" s="448"/>
      <c r="C60" s="450"/>
      <c r="D60" s="380" t="e">
        <f>VLOOKUP(F60,Sheet2!$A$2:$D$31,4,0)</f>
        <v>#N/A</v>
      </c>
      <c r="E60" s="450"/>
      <c r="F60" s="188" t="str">
        <f>F59&amp;1</f>
        <v>01</v>
      </c>
      <c r="G60" s="462"/>
      <c r="H60" s="463"/>
      <c r="I60" s="464"/>
      <c r="J60" s="464"/>
      <c r="K60" s="478"/>
      <c r="L60" s="465"/>
      <c r="M60" s="152"/>
      <c r="N60" s="153"/>
    </row>
    <row r="61" spans="1:14" s="135" customFormat="1" ht="18" hidden="1" customHeight="1">
      <c r="A61" s="175"/>
      <c r="B61" s="448">
        <f>'Customs Invoice'!B53</f>
        <v>0</v>
      </c>
      <c r="C61" s="449" t="e">
        <f>'Customs Invoice'!C53</f>
        <v>#N/A</v>
      </c>
      <c r="D61" s="380" t="e">
        <f>VLOOKUP(F61,Sheet2!$A$2:$D$31,4,0)</f>
        <v>#N/A</v>
      </c>
      <c r="E61" s="450" t="e">
        <f>'Customs Invoice'!E53</f>
        <v>#N/A</v>
      </c>
      <c r="F61" s="188">
        <f>'Customs Invoice'!F53</f>
        <v>0</v>
      </c>
      <c r="G61" s="462">
        <f>'Customs Invoice'!G53</f>
        <v>0</v>
      </c>
      <c r="H61" s="463" t="e">
        <f>'Customs Invoice'!H53</f>
        <v>#N/A</v>
      </c>
      <c r="I61" s="464">
        <f>'Customs Invoice'!I53</f>
        <v>0</v>
      </c>
      <c r="J61" s="464">
        <f>'Customs Invoice'!J53</f>
        <v>0</v>
      </c>
      <c r="K61" s="478" t="e">
        <f t="shared" ref="K61" si="8">L61/G61</f>
        <v>#DIV/0!</v>
      </c>
      <c r="L61" s="465">
        <f>'Customs Invoice'!P53</f>
        <v>0</v>
      </c>
      <c r="M61" s="152"/>
      <c r="N61" s="153"/>
    </row>
    <row r="62" spans="1:14" s="135" customFormat="1" ht="18" hidden="1" customHeight="1">
      <c r="A62" s="175"/>
      <c r="B62" s="448"/>
      <c r="C62" s="450"/>
      <c r="D62" s="380" t="e">
        <f>VLOOKUP(F62,Sheet2!$A$2:$D$31,4,0)</f>
        <v>#N/A</v>
      </c>
      <c r="E62" s="450"/>
      <c r="F62" s="188" t="str">
        <f>F61&amp;1</f>
        <v>01</v>
      </c>
      <c r="G62" s="462"/>
      <c r="H62" s="463"/>
      <c r="I62" s="464"/>
      <c r="J62" s="464"/>
      <c r="K62" s="478"/>
      <c r="L62" s="465"/>
      <c r="M62" s="152"/>
      <c r="N62" s="153"/>
    </row>
    <row r="63" spans="1:14" s="135" customFormat="1" ht="18" hidden="1" customHeight="1">
      <c r="A63" s="175"/>
      <c r="B63" s="448">
        <f>'Customs Invoice'!B54</f>
        <v>0</v>
      </c>
      <c r="C63" s="449" t="e">
        <f>'Customs Invoice'!C54</f>
        <v>#N/A</v>
      </c>
      <c r="D63" s="380" t="e">
        <f>VLOOKUP(F63,Sheet2!$A$2:$D$31,4,0)</f>
        <v>#N/A</v>
      </c>
      <c r="E63" s="450" t="e">
        <f>'Customs Invoice'!E54</f>
        <v>#N/A</v>
      </c>
      <c r="F63" s="188">
        <f>'Customs Invoice'!F54</f>
        <v>0</v>
      </c>
      <c r="G63" s="462">
        <f>'Customs Invoice'!G54</f>
        <v>0</v>
      </c>
      <c r="H63" s="463" t="e">
        <f>'Customs Invoice'!H54</f>
        <v>#N/A</v>
      </c>
      <c r="I63" s="464">
        <f>'Customs Invoice'!I54</f>
        <v>0</v>
      </c>
      <c r="J63" s="464">
        <f>'Customs Invoice'!J54</f>
        <v>0</v>
      </c>
      <c r="K63" s="478" t="e">
        <f t="shared" ref="K63" si="9">L63/G63</f>
        <v>#DIV/0!</v>
      </c>
      <c r="L63" s="465">
        <f>'Customs Invoice'!P54</f>
        <v>0</v>
      </c>
      <c r="M63" s="152"/>
      <c r="N63" s="153"/>
    </row>
    <row r="64" spans="1:14" s="135" customFormat="1" ht="18" hidden="1" customHeight="1" thickBot="1">
      <c r="A64" s="175"/>
      <c r="B64" s="470"/>
      <c r="C64" s="450"/>
      <c r="D64" s="381" t="e">
        <f>VLOOKUP(F64,Sheet2!$A$2:$D$31,4,0)</f>
        <v>#N/A</v>
      </c>
      <c r="E64" s="471"/>
      <c r="F64" s="190" t="str">
        <f>F63&amp;1</f>
        <v>01</v>
      </c>
      <c r="G64" s="472"/>
      <c r="H64" s="473"/>
      <c r="I64" s="466"/>
      <c r="J64" s="466"/>
      <c r="K64" s="479"/>
      <c r="L64" s="467"/>
      <c r="M64" s="152"/>
      <c r="N64" s="153"/>
    </row>
    <row r="65" spans="1:14" s="135" customFormat="1" ht="30" hidden="1" customHeight="1" thickBot="1">
      <c r="A65" s="175"/>
      <c r="B65" s="468" t="s">
        <v>38</v>
      </c>
      <c r="C65" s="469"/>
      <c r="D65" s="469"/>
      <c r="E65" s="469"/>
      <c r="F65" s="191"/>
      <c r="G65" s="480">
        <f>SUM(G45:G64)</f>
        <v>0</v>
      </c>
      <c r="H65" s="481"/>
      <c r="I65" s="192">
        <f>SUM(I45:I64)</f>
        <v>0</v>
      </c>
      <c r="J65" s="192">
        <f>SUM(J45:J64)</f>
        <v>0</v>
      </c>
      <c r="K65" s="203"/>
      <c r="L65" s="193">
        <f>SUM(L45:L64)</f>
        <v>0</v>
      </c>
      <c r="M65" s="152"/>
      <c r="N65" s="153"/>
    </row>
    <row r="66" spans="1:14" s="135" customFormat="1" ht="29.5" hidden="1" customHeight="1">
      <c r="A66" s="172"/>
      <c r="B66" s="173"/>
      <c r="C66" s="375"/>
      <c r="D66" s="173"/>
      <c r="E66" s="173"/>
      <c r="F66" s="173"/>
      <c r="G66" s="173"/>
      <c r="H66" s="174"/>
      <c r="I66" s="175"/>
      <c r="J66" s="173"/>
      <c r="K66" s="161"/>
      <c r="L66" s="175"/>
      <c r="M66" s="152"/>
      <c r="N66" s="153"/>
    </row>
    <row r="67" spans="1:14" s="135" customFormat="1" ht="25.5" hidden="1" customHeight="1" thickBot="1">
      <c r="A67" s="175"/>
      <c r="B67" s="176" t="s">
        <v>138</v>
      </c>
      <c r="C67" s="375"/>
      <c r="D67" s="177"/>
      <c r="E67" s="173"/>
      <c r="F67" s="173"/>
      <c r="G67" s="173"/>
      <c r="H67" s="173"/>
      <c r="I67" s="117"/>
      <c r="J67" s="376"/>
      <c r="K67" s="179"/>
      <c r="L67" s="179"/>
      <c r="M67" s="152"/>
      <c r="N67" s="153"/>
    </row>
    <row r="68" spans="1:14" s="135" customFormat="1" ht="41" hidden="1" customHeight="1" thickBot="1">
      <c r="A68" s="180"/>
      <c r="B68" s="181" t="s">
        <v>27</v>
      </c>
      <c r="C68" s="377" t="s">
        <v>131</v>
      </c>
      <c r="D68" s="377" t="s">
        <v>132</v>
      </c>
      <c r="E68" s="378" t="s">
        <v>133</v>
      </c>
      <c r="F68" s="378" t="s">
        <v>31</v>
      </c>
      <c r="G68" s="445" t="s">
        <v>134</v>
      </c>
      <c r="H68" s="446"/>
      <c r="I68" s="378" t="s">
        <v>33</v>
      </c>
      <c r="J68" s="184" t="s">
        <v>34</v>
      </c>
      <c r="K68" s="185" t="s">
        <v>135</v>
      </c>
      <c r="L68" s="186" t="s">
        <v>136</v>
      </c>
      <c r="M68" s="152"/>
      <c r="N68" s="153"/>
    </row>
    <row r="69" spans="1:14" s="135" customFormat="1" ht="18" hidden="1" customHeight="1">
      <c r="A69" s="175"/>
      <c r="B69" s="447">
        <f>'Customs Invoice'!B69</f>
        <v>0</v>
      </c>
      <c r="C69" s="449" t="e">
        <f>'Customs Invoice'!C69</f>
        <v>#N/A</v>
      </c>
      <c r="D69" s="379" t="e">
        <f>VLOOKUP(F69,Sheet2!$A$2:$D$31,4,0)</f>
        <v>#N/A</v>
      </c>
      <c r="E69" s="451" t="e">
        <f>'Customs Invoice'!E69</f>
        <v>#N/A</v>
      </c>
      <c r="F69" s="187">
        <f>'Customs Invoice'!F69</f>
        <v>0</v>
      </c>
      <c r="G69" s="452">
        <f>'Customs Invoice'!G69</f>
        <v>0</v>
      </c>
      <c r="H69" s="454" t="e">
        <f>'Customs Invoice'!H69</f>
        <v>#N/A</v>
      </c>
      <c r="I69" s="456">
        <f>'Customs Invoice'!I69</f>
        <v>0</v>
      </c>
      <c r="J69" s="456">
        <f>'Customs Invoice'!J69</f>
        <v>0</v>
      </c>
      <c r="K69" s="474" t="e">
        <f t="shared" ref="K69" si="10">L69/G69</f>
        <v>#DIV/0!</v>
      </c>
      <c r="L69" s="458">
        <f>'Customs Invoice'!P69</f>
        <v>0</v>
      </c>
      <c r="M69" s="152"/>
      <c r="N69" s="153"/>
    </row>
    <row r="70" spans="1:14" s="135" customFormat="1" ht="18" hidden="1" customHeight="1">
      <c r="A70" s="175"/>
      <c r="B70" s="448"/>
      <c r="C70" s="450"/>
      <c r="D70" s="380" t="e">
        <f>VLOOKUP(F70,Sheet2!$A$2:$D$31,4,0)</f>
        <v>#N/A</v>
      </c>
      <c r="E70" s="449"/>
      <c r="F70" s="188" t="str">
        <f>F69&amp;1</f>
        <v>01</v>
      </c>
      <c r="G70" s="453"/>
      <c r="H70" s="455"/>
      <c r="I70" s="457"/>
      <c r="J70" s="457"/>
      <c r="K70" s="475"/>
      <c r="L70" s="459"/>
      <c r="M70" s="152"/>
      <c r="N70" s="153"/>
    </row>
    <row r="71" spans="1:14" s="135" customFormat="1" ht="18" hidden="1" customHeight="1">
      <c r="A71" s="175"/>
      <c r="B71" s="448">
        <f>'Customs Invoice'!B70</f>
        <v>0</v>
      </c>
      <c r="C71" s="449" t="e">
        <f>'Customs Invoice'!C70</f>
        <v>#N/A</v>
      </c>
      <c r="D71" s="380" t="e">
        <f>VLOOKUP(F71,Sheet2!$A$2:$D$31,4,0)</f>
        <v>#N/A</v>
      </c>
      <c r="E71" s="450" t="e">
        <f>'Customs Invoice'!E70</f>
        <v>#N/A</v>
      </c>
      <c r="F71" s="188">
        <f>'Customs Invoice'!F70</f>
        <v>0</v>
      </c>
      <c r="G71" s="462">
        <f>'Customs Invoice'!G70</f>
        <v>0</v>
      </c>
      <c r="H71" s="463" t="e">
        <f>'Customs Invoice'!H70</f>
        <v>#N/A</v>
      </c>
      <c r="I71" s="464">
        <f>'Customs Invoice'!I70</f>
        <v>0</v>
      </c>
      <c r="J71" s="464">
        <f>'Customs Invoice'!J70</f>
        <v>0</v>
      </c>
      <c r="K71" s="478" t="e">
        <f t="shared" ref="K71" si="11">L71/G71</f>
        <v>#DIV/0!</v>
      </c>
      <c r="L71" s="465">
        <f>'Customs Invoice'!P70</f>
        <v>0</v>
      </c>
      <c r="M71" s="152"/>
      <c r="N71" s="153"/>
    </row>
    <row r="72" spans="1:14" s="135" customFormat="1" ht="18" hidden="1" customHeight="1">
      <c r="A72" s="175"/>
      <c r="B72" s="448"/>
      <c r="C72" s="450"/>
      <c r="D72" s="380" t="e">
        <f>VLOOKUP(F72,Sheet2!$A$2:$D$31,4,0)</f>
        <v>#N/A</v>
      </c>
      <c r="E72" s="450"/>
      <c r="F72" s="188" t="str">
        <f>F71&amp;1</f>
        <v>01</v>
      </c>
      <c r="G72" s="462"/>
      <c r="H72" s="463"/>
      <c r="I72" s="464"/>
      <c r="J72" s="464"/>
      <c r="K72" s="478"/>
      <c r="L72" s="465"/>
      <c r="M72" s="152"/>
      <c r="N72" s="153"/>
    </row>
    <row r="73" spans="1:14" s="135" customFormat="1" ht="18" hidden="1" customHeight="1">
      <c r="A73" s="175"/>
      <c r="B73" s="448">
        <f>'Customs Invoice'!B71</f>
        <v>0</v>
      </c>
      <c r="C73" s="449" t="e">
        <f>'Customs Invoice'!C71</f>
        <v>#N/A</v>
      </c>
      <c r="D73" s="380" t="e">
        <f>VLOOKUP(F73,Sheet2!$A$2:$D$31,4,0)</f>
        <v>#N/A</v>
      </c>
      <c r="E73" s="450" t="e">
        <f>'Customs Invoice'!E71</f>
        <v>#N/A</v>
      </c>
      <c r="F73" s="188">
        <f>'Customs Invoice'!F71</f>
        <v>0</v>
      </c>
      <c r="G73" s="462">
        <f>'Customs Invoice'!G71</f>
        <v>0</v>
      </c>
      <c r="H73" s="463" t="e">
        <f>'Customs Invoice'!H71</f>
        <v>#N/A</v>
      </c>
      <c r="I73" s="464">
        <f>'Customs Invoice'!I71</f>
        <v>0</v>
      </c>
      <c r="J73" s="464">
        <f>'Customs Invoice'!J71</f>
        <v>0</v>
      </c>
      <c r="K73" s="478" t="e">
        <f t="shared" ref="K73" si="12">L73/G73</f>
        <v>#DIV/0!</v>
      </c>
      <c r="L73" s="465">
        <f>'Customs Invoice'!P71</f>
        <v>0</v>
      </c>
      <c r="M73" s="152"/>
      <c r="N73" s="153"/>
    </row>
    <row r="74" spans="1:14" s="135" customFormat="1" ht="18" hidden="1" customHeight="1">
      <c r="A74" s="175"/>
      <c r="B74" s="448"/>
      <c r="C74" s="450"/>
      <c r="D74" s="380" t="e">
        <f>VLOOKUP(F74,Sheet2!$A$2:$D$31,4,0)</f>
        <v>#N/A</v>
      </c>
      <c r="E74" s="450"/>
      <c r="F74" s="188" t="str">
        <f>F73&amp;1</f>
        <v>01</v>
      </c>
      <c r="G74" s="462"/>
      <c r="H74" s="463"/>
      <c r="I74" s="464"/>
      <c r="J74" s="464"/>
      <c r="K74" s="478"/>
      <c r="L74" s="465"/>
      <c r="M74" s="152"/>
      <c r="N74" s="153"/>
    </row>
    <row r="75" spans="1:14" s="135" customFormat="1" ht="18" hidden="1" customHeight="1">
      <c r="A75" s="175"/>
      <c r="B75" s="448">
        <f>'Customs Invoice'!B72</f>
        <v>0</v>
      </c>
      <c r="C75" s="449" t="e">
        <f>'Customs Invoice'!C72</f>
        <v>#N/A</v>
      </c>
      <c r="D75" s="380" t="e">
        <f>VLOOKUP(F75,Sheet2!$A$2:$D$31,4,0)</f>
        <v>#N/A</v>
      </c>
      <c r="E75" s="450" t="e">
        <f>'Customs Invoice'!E72</f>
        <v>#N/A</v>
      </c>
      <c r="F75" s="188">
        <f>'Customs Invoice'!F72</f>
        <v>0</v>
      </c>
      <c r="G75" s="462">
        <f>'Customs Invoice'!G72</f>
        <v>0</v>
      </c>
      <c r="H75" s="463" t="e">
        <f>'Customs Invoice'!H72</f>
        <v>#N/A</v>
      </c>
      <c r="I75" s="464">
        <f>'Customs Invoice'!I72</f>
        <v>0</v>
      </c>
      <c r="J75" s="464">
        <f>'Customs Invoice'!J72</f>
        <v>0</v>
      </c>
      <c r="K75" s="478" t="e">
        <f t="shared" ref="K75" si="13">L75/G75</f>
        <v>#DIV/0!</v>
      </c>
      <c r="L75" s="465">
        <f>'Customs Invoice'!P72</f>
        <v>0</v>
      </c>
      <c r="M75" s="152"/>
      <c r="N75" s="153"/>
    </row>
    <row r="76" spans="1:14" s="135" customFormat="1" ht="18" hidden="1" customHeight="1">
      <c r="A76" s="175"/>
      <c r="B76" s="448"/>
      <c r="C76" s="450"/>
      <c r="D76" s="380" t="e">
        <f>VLOOKUP(F76,Sheet2!$A$2:$D$31,4,0)</f>
        <v>#N/A</v>
      </c>
      <c r="E76" s="450"/>
      <c r="F76" s="188" t="str">
        <f>F75&amp;1</f>
        <v>01</v>
      </c>
      <c r="G76" s="462"/>
      <c r="H76" s="463"/>
      <c r="I76" s="464"/>
      <c r="J76" s="464"/>
      <c r="K76" s="478"/>
      <c r="L76" s="465"/>
      <c r="M76" s="152"/>
      <c r="N76" s="153"/>
    </row>
    <row r="77" spans="1:14" s="135" customFormat="1" ht="18" hidden="1" customHeight="1">
      <c r="A77" s="175"/>
      <c r="B77" s="448">
        <f>'Customs Invoice'!B73</f>
        <v>0</v>
      </c>
      <c r="C77" s="449" t="e">
        <f>'Customs Invoice'!C73</f>
        <v>#N/A</v>
      </c>
      <c r="D77" s="380" t="e">
        <f>VLOOKUP(F77,Sheet2!$A$2:$D$31,4,0)</f>
        <v>#N/A</v>
      </c>
      <c r="E77" s="450" t="e">
        <f>'Customs Invoice'!E73</f>
        <v>#N/A</v>
      </c>
      <c r="F77" s="188">
        <f>'Customs Invoice'!F73</f>
        <v>0</v>
      </c>
      <c r="G77" s="462">
        <f>'Customs Invoice'!G73</f>
        <v>0</v>
      </c>
      <c r="H77" s="463" t="e">
        <f>'Customs Invoice'!H73</f>
        <v>#N/A</v>
      </c>
      <c r="I77" s="464">
        <f>'Customs Invoice'!I73</f>
        <v>0</v>
      </c>
      <c r="J77" s="464">
        <f>'Customs Invoice'!J73</f>
        <v>0</v>
      </c>
      <c r="K77" s="478" t="e">
        <f t="shared" ref="K77" si="14">L77/G77</f>
        <v>#DIV/0!</v>
      </c>
      <c r="L77" s="465">
        <f>'Customs Invoice'!P73</f>
        <v>0</v>
      </c>
      <c r="M77" s="152"/>
      <c r="N77" s="153"/>
    </row>
    <row r="78" spans="1:14" s="135" customFormat="1" ht="18" hidden="1" customHeight="1">
      <c r="A78" s="175"/>
      <c r="B78" s="448"/>
      <c r="C78" s="450"/>
      <c r="D78" s="380" t="e">
        <f>VLOOKUP(F78,Sheet2!$A$2:$D$31,4,0)</f>
        <v>#N/A</v>
      </c>
      <c r="E78" s="450"/>
      <c r="F78" s="188" t="str">
        <f>F77&amp;1</f>
        <v>01</v>
      </c>
      <c r="G78" s="462"/>
      <c r="H78" s="463"/>
      <c r="I78" s="464"/>
      <c r="J78" s="464"/>
      <c r="K78" s="478"/>
      <c r="L78" s="465"/>
      <c r="M78" s="152"/>
      <c r="N78" s="153"/>
    </row>
    <row r="79" spans="1:14" s="135" customFormat="1" ht="18" hidden="1" customHeight="1">
      <c r="A79" s="175"/>
      <c r="B79" s="448">
        <f>'Customs Invoice'!B74</f>
        <v>0</v>
      </c>
      <c r="C79" s="449" t="e">
        <f>'Customs Invoice'!C74</f>
        <v>#N/A</v>
      </c>
      <c r="D79" s="380" t="e">
        <f>VLOOKUP(F79,Sheet2!$A$2:$D$31,4,0)</f>
        <v>#N/A</v>
      </c>
      <c r="E79" s="450" t="e">
        <f>'Customs Invoice'!E74</f>
        <v>#N/A</v>
      </c>
      <c r="F79" s="188">
        <f>'Customs Invoice'!F74</f>
        <v>0</v>
      </c>
      <c r="G79" s="462">
        <f>'Customs Invoice'!G74</f>
        <v>0</v>
      </c>
      <c r="H79" s="463" t="e">
        <f>'Customs Invoice'!H74</f>
        <v>#N/A</v>
      </c>
      <c r="I79" s="464">
        <f>'Customs Invoice'!I74</f>
        <v>0</v>
      </c>
      <c r="J79" s="464">
        <f>'Customs Invoice'!J74</f>
        <v>0</v>
      </c>
      <c r="K79" s="478" t="e">
        <f t="shared" ref="K79" si="15">L79/G79</f>
        <v>#DIV/0!</v>
      </c>
      <c r="L79" s="465">
        <f>'Customs Invoice'!P74</f>
        <v>0</v>
      </c>
      <c r="M79" s="152"/>
      <c r="N79" s="153"/>
    </row>
    <row r="80" spans="1:14" s="135" customFormat="1" ht="18" hidden="1" customHeight="1">
      <c r="A80" s="175"/>
      <c r="B80" s="448"/>
      <c r="C80" s="450"/>
      <c r="D80" s="380" t="e">
        <f>VLOOKUP(F80,Sheet2!$A$2:$D$31,4,0)</f>
        <v>#N/A</v>
      </c>
      <c r="E80" s="450"/>
      <c r="F80" s="188" t="str">
        <f>F79&amp;1</f>
        <v>01</v>
      </c>
      <c r="G80" s="462"/>
      <c r="H80" s="463"/>
      <c r="I80" s="464"/>
      <c r="J80" s="464"/>
      <c r="K80" s="478"/>
      <c r="L80" s="465"/>
      <c r="M80" s="152"/>
      <c r="N80" s="153"/>
    </row>
    <row r="81" spans="1:14" s="135" customFormat="1" ht="18" hidden="1" customHeight="1">
      <c r="A81" s="175"/>
      <c r="B81" s="448">
        <f>'Customs Invoice'!B75</f>
        <v>0</v>
      </c>
      <c r="C81" s="449" t="e">
        <f>'Customs Invoice'!C75</f>
        <v>#N/A</v>
      </c>
      <c r="D81" s="380" t="e">
        <f>VLOOKUP(F81,Sheet2!$A$2:$D$31,4,0)</f>
        <v>#N/A</v>
      </c>
      <c r="E81" s="450" t="e">
        <f>'Customs Invoice'!E75</f>
        <v>#N/A</v>
      </c>
      <c r="F81" s="188">
        <f>'Customs Invoice'!F75</f>
        <v>0</v>
      </c>
      <c r="G81" s="462">
        <f>'Customs Invoice'!G75</f>
        <v>0</v>
      </c>
      <c r="H81" s="463" t="e">
        <f>'Customs Invoice'!H75</f>
        <v>#N/A</v>
      </c>
      <c r="I81" s="464">
        <f>'Customs Invoice'!I75</f>
        <v>0</v>
      </c>
      <c r="J81" s="464">
        <f>'Customs Invoice'!J75</f>
        <v>0</v>
      </c>
      <c r="K81" s="478" t="e">
        <f t="shared" ref="K81" si="16">L81/G81</f>
        <v>#DIV/0!</v>
      </c>
      <c r="L81" s="465">
        <f>'Customs Invoice'!P75</f>
        <v>0</v>
      </c>
      <c r="M81" s="152"/>
      <c r="N81" s="153"/>
    </row>
    <row r="82" spans="1:14" s="135" customFormat="1" ht="18" hidden="1" customHeight="1">
      <c r="A82" s="175"/>
      <c r="B82" s="448"/>
      <c r="C82" s="450"/>
      <c r="D82" s="380" t="e">
        <f>VLOOKUP(F82,Sheet2!$A$2:$D$31,4,0)</f>
        <v>#N/A</v>
      </c>
      <c r="E82" s="450"/>
      <c r="F82" s="188" t="str">
        <f>F81&amp;1</f>
        <v>01</v>
      </c>
      <c r="G82" s="462"/>
      <c r="H82" s="463"/>
      <c r="I82" s="464"/>
      <c r="J82" s="464"/>
      <c r="K82" s="478"/>
      <c r="L82" s="465"/>
      <c r="M82" s="152"/>
      <c r="N82" s="153"/>
    </row>
    <row r="83" spans="1:14" s="135" customFormat="1" ht="18" hidden="1" customHeight="1">
      <c r="A83" s="175"/>
      <c r="B83" s="448">
        <f>'Customs Invoice'!B76</f>
        <v>0</v>
      </c>
      <c r="C83" s="449" t="e">
        <f>'Customs Invoice'!C76</f>
        <v>#N/A</v>
      </c>
      <c r="D83" s="380" t="e">
        <f>VLOOKUP(F83,Sheet2!$A$2:$D$31,4,0)</f>
        <v>#N/A</v>
      </c>
      <c r="E83" s="450" t="e">
        <f>'Customs Invoice'!E76</f>
        <v>#N/A</v>
      </c>
      <c r="F83" s="188">
        <f>'Customs Invoice'!F76</f>
        <v>0</v>
      </c>
      <c r="G83" s="462">
        <f>'Customs Invoice'!G76</f>
        <v>0</v>
      </c>
      <c r="H83" s="463" t="e">
        <f>'Customs Invoice'!H76</f>
        <v>#N/A</v>
      </c>
      <c r="I83" s="464">
        <f>'Customs Invoice'!I76</f>
        <v>0</v>
      </c>
      <c r="J83" s="464">
        <f>'Customs Invoice'!J76</f>
        <v>0</v>
      </c>
      <c r="K83" s="478" t="e">
        <f t="shared" ref="K83" si="17">L83/G83</f>
        <v>#DIV/0!</v>
      </c>
      <c r="L83" s="465">
        <f>'Customs Invoice'!P76</f>
        <v>0</v>
      </c>
      <c r="M83" s="152"/>
      <c r="N83" s="153"/>
    </row>
    <row r="84" spans="1:14" s="135" customFormat="1" ht="18" hidden="1" customHeight="1">
      <c r="A84" s="175"/>
      <c r="B84" s="448"/>
      <c r="C84" s="450"/>
      <c r="D84" s="380" t="e">
        <f>VLOOKUP(F84,Sheet2!$A$2:$D$31,4,0)</f>
        <v>#N/A</v>
      </c>
      <c r="E84" s="450"/>
      <c r="F84" s="188" t="str">
        <f>F83&amp;1</f>
        <v>01</v>
      </c>
      <c r="G84" s="462"/>
      <c r="H84" s="463"/>
      <c r="I84" s="464"/>
      <c r="J84" s="464"/>
      <c r="K84" s="478"/>
      <c r="L84" s="465"/>
      <c r="M84" s="152"/>
      <c r="N84" s="153"/>
    </row>
    <row r="85" spans="1:14" s="135" customFormat="1" ht="18" hidden="1" customHeight="1">
      <c r="A85" s="175"/>
      <c r="B85" s="448">
        <f>'Customs Invoice'!B77</f>
        <v>0</v>
      </c>
      <c r="C85" s="449" t="e">
        <f>'Customs Invoice'!C77</f>
        <v>#N/A</v>
      </c>
      <c r="D85" s="380" t="e">
        <f>VLOOKUP(F85,Sheet2!$A$2:$D$31,4,0)</f>
        <v>#N/A</v>
      </c>
      <c r="E85" s="450" t="e">
        <f>'Customs Invoice'!E77</f>
        <v>#N/A</v>
      </c>
      <c r="F85" s="188">
        <f>'Customs Invoice'!F77</f>
        <v>0</v>
      </c>
      <c r="G85" s="462">
        <f>'Customs Invoice'!G77</f>
        <v>0</v>
      </c>
      <c r="H85" s="463" t="e">
        <f>'Customs Invoice'!H77</f>
        <v>#N/A</v>
      </c>
      <c r="I85" s="464">
        <f>'Customs Invoice'!I77</f>
        <v>0</v>
      </c>
      <c r="J85" s="464">
        <f>'Customs Invoice'!J77</f>
        <v>0</v>
      </c>
      <c r="K85" s="478" t="e">
        <f t="shared" ref="K85" si="18">L85/G85</f>
        <v>#DIV/0!</v>
      </c>
      <c r="L85" s="465">
        <f>'Customs Invoice'!P77</f>
        <v>0</v>
      </c>
      <c r="M85" s="152"/>
      <c r="N85" s="153"/>
    </row>
    <row r="86" spans="1:14" s="135" customFormat="1" ht="18" hidden="1" customHeight="1">
      <c r="A86" s="175"/>
      <c r="B86" s="448"/>
      <c r="C86" s="450"/>
      <c r="D86" s="380" t="e">
        <f>VLOOKUP(F86,Sheet2!$A$2:$D$31,4,0)</f>
        <v>#N/A</v>
      </c>
      <c r="E86" s="450"/>
      <c r="F86" s="188" t="str">
        <f>F85&amp;1</f>
        <v>01</v>
      </c>
      <c r="G86" s="462"/>
      <c r="H86" s="463"/>
      <c r="I86" s="464"/>
      <c r="J86" s="464"/>
      <c r="K86" s="478"/>
      <c r="L86" s="465"/>
      <c r="M86" s="152"/>
      <c r="N86" s="153"/>
    </row>
    <row r="87" spans="1:14" s="135" customFormat="1" ht="18" hidden="1" customHeight="1">
      <c r="A87" s="175"/>
      <c r="B87" s="448">
        <f>'Customs Invoice'!B78</f>
        <v>0</v>
      </c>
      <c r="C87" s="449" t="e">
        <f>'Customs Invoice'!C78</f>
        <v>#N/A</v>
      </c>
      <c r="D87" s="380" t="e">
        <f>VLOOKUP(F87,Sheet2!$A$2:$D$31,4,0)</f>
        <v>#N/A</v>
      </c>
      <c r="E87" s="450" t="e">
        <f>'Customs Invoice'!E78</f>
        <v>#N/A</v>
      </c>
      <c r="F87" s="188">
        <f>'Customs Invoice'!F78</f>
        <v>0</v>
      </c>
      <c r="G87" s="462">
        <f>'Customs Invoice'!G78</f>
        <v>0</v>
      </c>
      <c r="H87" s="463" t="e">
        <f>'Customs Invoice'!H78</f>
        <v>#N/A</v>
      </c>
      <c r="I87" s="464">
        <f>'Customs Invoice'!I78</f>
        <v>0</v>
      </c>
      <c r="J87" s="464">
        <f>'Customs Invoice'!J78</f>
        <v>0</v>
      </c>
      <c r="K87" s="478" t="e">
        <f t="shared" ref="K87" si="19">L87/G87</f>
        <v>#DIV/0!</v>
      </c>
      <c r="L87" s="465">
        <f>'Customs Invoice'!P78</f>
        <v>0</v>
      </c>
      <c r="M87" s="152"/>
      <c r="N87" s="153"/>
    </row>
    <row r="88" spans="1:14" s="135" customFormat="1" ht="18" hidden="1" customHeight="1" thickBot="1">
      <c r="A88" s="175"/>
      <c r="B88" s="470"/>
      <c r="C88" s="450"/>
      <c r="D88" s="381" t="e">
        <f>VLOOKUP(F88,Sheet2!$A$2:$D$31,4,0)</f>
        <v>#N/A</v>
      </c>
      <c r="E88" s="471"/>
      <c r="F88" s="190" t="str">
        <f>F87&amp;1</f>
        <v>01</v>
      </c>
      <c r="G88" s="472"/>
      <c r="H88" s="473"/>
      <c r="I88" s="466"/>
      <c r="J88" s="466"/>
      <c r="K88" s="479"/>
      <c r="L88" s="467"/>
      <c r="M88" s="152"/>
      <c r="N88" s="153"/>
    </row>
    <row r="89" spans="1:14" s="135" customFormat="1" ht="30" hidden="1" customHeight="1" thickBot="1">
      <c r="A89" s="175"/>
      <c r="B89" s="468" t="s">
        <v>38</v>
      </c>
      <c r="C89" s="469"/>
      <c r="D89" s="469"/>
      <c r="E89" s="469"/>
      <c r="F89" s="191"/>
      <c r="G89" s="480">
        <f>SUM(G69:G88)</f>
        <v>0</v>
      </c>
      <c r="H89" s="481"/>
      <c r="I89" s="192">
        <f>SUM(I69:I88)</f>
        <v>0</v>
      </c>
      <c r="J89" s="192">
        <f>SUM(J69:J88)</f>
        <v>0</v>
      </c>
      <c r="K89" s="203"/>
      <c r="L89" s="193">
        <f>SUM(L69:L88)</f>
        <v>0</v>
      </c>
      <c r="M89" s="152"/>
      <c r="N89" s="153"/>
    </row>
    <row r="90" spans="1:14" s="135" customFormat="1" ht="29.5" hidden="1" customHeight="1">
      <c r="A90" s="172"/>
      <c r="B90" s="173"/>
      <c r="C90" s="375"/>
      <c r="D90" s="173"/>
      <c r="E90" s="173"/>
      <c r="F90" s="173"/>
      <c r="G90" s="173"/>
      <c r="H90" s="174"/>
      <c r="I90" s="175"/>
      <c r="J90" s="173"/>
      <c r="K90" s="161"/>
      <c r="L90" s="175"/>
      <c r="M90" s="152"/>
      <c r="N90" s="153"/>
    </row>
    <row r="91" spans="1:14" s="135" customFormat="1" ht="25.5" hidden="1" customHeight="1" thickBot="1">
      <c r="A91" s="175"/>
      <c r="B91" s="176" t="s">
        <v>139</v>
      </c>
      <c r="C91" s="375"/>
      <c r="D91" s="177"/>
      <c r="E91" s="173"/>
      <c r="F91" s="173"/>
      <c r="G91" s="173"/>
      <c r="H91" s="173"/>
      <c r="I91" s="117"/>
      <c r="J91" s="376"/>
      <c r="K91" s="179"/>
      <c r="L91" s="179"/>
      <c r="M91" s="152"/>
      <c r="N91" s="153"/>
    </row>
    <row r="92" spans="1:14" s="135" customFormat="1" ht="41" hidden="1" customHeight="1" thickBot="1">
      <c r="A92" s="180"/>
      <c r="B92" s="181" t="s">
        <v>27</v>
      </c>
      <c r="C92" s="377" t="s">
        <v>131</v>
      </c>
      <c r="D92" s="377" t="s">
        <v>132</v>
      </c>
      <c r="E92" s="378" t="s">
        <v>133</v>
      </c>
      <c r="F92" s="378" t="s">
        <v>31</v>
      </c>
      <c r="G92" s="445" t="s">
        <v>134</v>
      </c>
      <c r="H92" s="446"/>
      <c r="I92" s="378" t="s">
        <v>33</v>
      </c>
      <c r="J92" s="184" t="s">
        <v>34</v>
      </c>
      <c r="K92" s="185" t="s">
        <v>135</v>
      </c>
      <c r="L92" s="186" t="s">
        <v>136</v>
      </c>
      <c r="M92" s="152"/>
      <c r="N92" s="153"/>
    </row>
    <row r="93" spans="1:14" s="135" customFormat="1" ht="18" hidden="1" customHeight="1">
      <c r="A93" s="175"/>
      <c r="B93" s="447">
        <f>'Customs Invoice'!B93</f>
        <v>0</v>
      </c>
      <c r="C93" s="449" t="e">
        <f>'Customs Invoice'!C93</f>
        <v>#N/A</v>
      </c>
      <c r="D93" s="379" t="e">
        <f>VLOOKUP(F93,Sheet2!$A$2:$D$31,4,0)</f>
        <v>#N/A</v>
      </c>
      <c r="E93" s="451" t="e">
        <f>'Customs Invoice'!E93</f>
        <v>#N/A</v>
      </c>
      <c r="F93" s="187">
        <f>'Customs Invoice'!F93</f>
        <v>0</v>
      </c>
      <c r="G93" s="452">
        <f>'Customs Invoice'!G93</f>
        <v>0</v>
      </c>
      <c r="H93" s="454" t="e">
        <f>'Customs Invoice'!H93</f>
        <v>#N/A</v>
      </c>
      <c r="I93" s="456">
        <f>'Customs Invoice'!I93</f>
        <v>0</v>
      </c>
      <c r="J93" s="456">
        <f>'Customs Invoice'!J93</f>
        <v>0</v>
      </c>
      <c r="K93" s="474" t="e">
        <f t="shared" ref="K93" si="20">L93/G93</f>
        <v>#DIV/0!</v>
      </c>
      <c r="L93" s="458">
        <f>'Customs Invoice'!P93</f>
        <v>0</v>
      </c>
      <c r="M93" s="152"/>
      <c r="N93" s="153"/>
    </row>
    <row r="94" spans="1:14" s="135" customFormat="1" ht="18" hidden="1" customHeight="1">
      <c r="A94" s="175"/>
      <c r="B94" s="448"/>
      <c r="C94" s="450"/>
      <c r="D94" s="380" t="e">
        <f>VLOOKUP(F94,Sheet2!$A$2:$D$31,4,0)</f>
        <v>#N/A</v>
      </c>
      <c r="E94" s="449"/>
      <c r="F94" s="188" t="str">
        <f>F93&amp;1</f>
        <v>01</v>
      </c>
      <c r="G94" s="453"/>
      <c r="H94" s="455"/>
      <c r="I94" s="457"/>
      <c r="J94" s="457"/>
      <c r="K94" s="475"/>
      <c r="L94" s="459"/>
      <c r="M94" s="152"/>
      <c r="N94" s="153"/>
    </row>
    <row r="95" spans="1:14" s="135" customFormat="1" ht="18" hidden="1" customHeight="1">
      <c r="A95" s="175"/>
      <c r="B95" s="448">
        <f>'Customs Invoice'!B94</f>
        <v>0</v>
      </c>
      <c r="C95" s="449" t="e">
        <f>'Customs Invoice'!C94</f>
        <v>#N/A</v>
      </c>
      <c r="D95" s="380" t="e">
        <f>VLOOKUP(F95,Sheet2!$A$2:$D$31,4,0)</f>
        <v>#N/A</v>
      </c>
      <c r="E95" s="450" t="e">
        <f>'Customs Invoice'!E94</f>
        <v>#N/A</v>
      </c>
      <c r="F95" s="188">
        <f>'Customs Invoice'!F94</f>
        <v>0</v>
      </c>
      <c r="G95" s="462">
        <f>'Customs Invoice'!G94</f>
        <v>0</v>
      </c>
      <c r="H95" s="463" t="e">
        <f>'Customs Invoice'!H94</f>
        <v>#N/A</v>
      </c>
      <c r="I95" s="464">
        <f>'Customs Invoice'!I94</f>
        <v>0</v>
      </c>
      <c r="J95" s="464">
        <f>'Customs Invoice'!J94</f>
        <v>0</v>
      </c>
      <c r="K95" s="478" t="e">
        <f t="shared" ref="K95" si="21">L95/G95</f>
        <v>#DIV/0!</v>
      </c>
      <c r="L95" s="465">
        <f>'Customs Invoice'!P94</f>
        <v>0</v>
      </c>
      <c r="M95" s="152"/>
      <c r="N95" s="153"/>
    </row>
    <row r="96" spans="1:14" s="135" customFormat="1" ht="18" hidden="1" customHeight="1">
      <c r="A96" s="175"/>
      <c r="B96" s="448"/>
      <c r="C96" s="450"/>
      <c r="D96" s="380" t="e">
        <f>VLOOKUP(F96,Sheet2!$A$2:$D$31,4,0)</f>
        <v>#N/A</v>
      </c>
      <c r="E96" s="450"/>
      <c r="F96" s="188" t="str">
        <f>F95&amp;1</f>
        <v>01</v>
      </c>
      <c r="G96" s="462"/>
      <c r="H96" s="463"/>
      <c r="I96" s="464"/>
      <c r="J96" s="464"/>
      <c r="K96" s="478"/>
      <c r="L96" s="465"/>
      <c r="M96" s="152"/>
      <c r="N96" s="153"/>
    </row>
    <row r="97" spans="1:14" s="135" customFormat="1" ht="18" hidden="1" customHeight="1">
      <c r="A97" s="175"/>
      <c r="B97" s="448">
        <f>'Customs Invoice'!B95</f>
        <v>0</v>
      </c>
      <c r="C97" s="449" t="e">
        <f>'Customs Invoice'!C95</f>
        <v>#N/A</v>
      </c>
      <c r="D97" s="380" t="e">
        <f>VLOOKUP(F97,Sheet2!$A$2:$D$31,4,0)</f>
        <v>#N/A</v>
      </c>
      <c r="E97" s="450" t="e">
        <f>'Customs Invoice'!E95</f>
        <v>#N/A</v>
      </c>
      <c r="F97" s="188">
        <f>'Customs Invoice'!F95</f>
        <v>0</v>
      </c>
      <c r="G97" s="462">
        <f>'Customs Invoice'!G95</f>
        <v>0</v>
      </c>
      <c r="H97" s="463" t="e">
        <f>'Customs Invoice'!H95</f>
        <v>#N/A</v>
      </c>
      <c r="I97" s="464">
        <f>'Customs Invoice'!I95</f>
        <v>0</v>
      </c>
      <c r="J97" s="464">
        <f>'Customs Invoice'!J95</f>
        <v>0</v>
      </c>
      <c r="K97" s="478" t="e">
        <f t="shared" ref="K97" si="22">L97/G97</f>
        <v>#DIV/0!</v>
      </c>
      <c r="L97" s="465">
        <f>'Customs Invoice'!P95</f>
        <v>0</v>
      </c>
      <c r="M97" s="152"/>
      <c r="N97" s="153"/>
    </row>
    <row r="98" spans="1:14" s="135" customFormat="1" ht="18" hidden="1" customHeight="1">
      <c r="A98" s="175"/>
      <c r="B98" s="448"/>
      <c r="C98" s="450"/>
      <c r="D98" s="380" t="e">
        <f>VLOOKUP(F98,Sheet2!$A$2:$D$31,4,0)</f>
        <v>#N/A</v>
      </c>
      <c r="E98" s="450"/>
      <c r="F98" s="188" t="str">
        <f>F97&amp;1</f>
        <v>01</v>
      </c>
      <c r="G98" s="462"/>
      <c r="H98" s="463"/>
      <c r="I98" s="464"/>
      <c r="J98" s="464"/>
      <c r="K98" s="478"/>
      <c r="L98" s="465"/>
      <c r="M98" s="152"/>
      <c r="N98" s="153"/>
    </row>
    <row r="99" spans="1:14" s="135" customFormat="1" ht="18" hidden="1" customHeight="1">
      <c r="A99" s="175"/>
      <c r="B99" s="448">
        <f>'Customs Invoice'!B96</f>
        <v>0</v>
      </c>
      <c r="C99" s="449" t="e">
        <f>'Customs Invoice'!C96</f>
        <v>#N/A</v>
      </c>
      <c r="D99" s="380" t="e">
        <f>VLOOKUP(F99,Sheet2!$A$2:$D$31,4,0)</f>
        <v>#N/A</v>
      </c>
      <c r="E99" s="450" t="e">
        <f>'Customs Invoice'!E96</f>
        <v>#N/A</v>
      </c>
      <c r="F99" s="188">
        <f>'Customs Invoice'!F96</f>
        <v>0</v>
      </c>
      <c r="G99" s="462">
        <f>'Customs Invoice'!G96</f>
        <v>0</v>
      </c>
      <c r="H99" s="463" t="e">
        <f>'Customs Invoice'!H96</f>
        <v>#N/A</v>
      </c>
      <c r="I99" s="464">
        <f>'Customs Invoice'!I96</f>
        <v>0</v>
      </c>
      <c r="J99" s="464">
        <f>'Customs Invoice'!J96</f>
        <v>0</v>
      </c>
      <c r="K99" s="478" t="e">
        <f t="shared" ref="K99" si="23">L99/G99</f>
        <v>#DIV/0!</v>
      </c>
      <c r="L99" s="465">
        <f>'Customs Invoice'!P96</f>
        <v>0</v>
      </c>
      <c r="M99" s="152"/>
      <c r="N99" s="153"/>
    </row>
    <row r="100" spans="1:14" s="135" customFormat="1" ht="18" hidden="1" customHeight="1">
      <c r="A100" s="175"/>
      <c r="B100" s="448"/>
      <c r="C100" s="450"/>
      <c r="D100" s="380" t="e">
        <f>VLOOKUP(F100,Sheet2!$A$2:$D$31,4,0)</f>
        <v>#N/A</v>
      </c>
      <c r="E100" s="450"/>
      <c r="F100" s="188" t="str">
        <f>F99&amp;1</f>
        <v>01</v>
      </c>
      <c r="G100" s="462"/>
      <c r="H100" s="463"/>
      <c r="I100" s="464"/>
      <c r="J100" s="464"/>
      <c r="K100" s="478"/>
      <c r="L100" s="465"/>
      <c r="M100" s="152"/>
      <c r="N100" s="153"/>
    </row>
    <row r="101" spans="1:14" s="135" customFormat="1" ht="18" hidden="1" customHeight="1">
      <c r="A101" s="175"/>
      <c r="B101" s="448">
        <f>'Customs Invoice'!B97</f>
        <v>0</v>
      </c>
      <c r="C101" s="449" t="e">
        <f>'Customs Invoice'!C97</f>
        <v>#N/A</v>
      </c>
      <c r="D101" s="380" t="e">
        <f>VLOOKUP(F101,Sheet2!$A$2:$D$31,4,0)</f>
        <v>#N/A</v>
      </c>
      <c r="E101" s="450" t="e">
        <f>'Customs Invoice'!E97</f>
        <v>#N/A</v>
      </c>
      <c r="F101" s="188">
        <f>'Customs Invoice'!F97</f>
        <v>0</v>
      </c>
      <c r="G101" s="462">
        <f>'Customs Invoice'!G97</f>
        <v>0</v>
      </c>
      <c r="H101" s="463" t="e">
        <f>'Customs Invoice'!H97</f>
        <v>#N/A</v>
      </c>
      <c r="I101" s="464">
        <f>'Customs Invoice'!I97</f>
        <v>0</v>
      </c>
      <c r="J101" s="464">
        <f>'Customs Invoice'!J97</f>
        <v>0</v>
      </c>
      <c r="K101" s="478" t="e">
        <f t="shared" ref="K101" si="24">L101/G101</f>
        <v>#DIV/0!</v>
      </c>
      <c r="L101" s="465">
        <f>'Customs Invoice'!P97</f>
        <v>0</v>
      </c>
      <c r="M101" s="152"/>
      <c r="N101" s="153"/>
    </row>
    <row r="102" spans="1:14" s="135" customFormat="1" ht="18" hidden="1" customHeight="1">
      <c r="A102" s="175"/>
      <c r="B102" s="448"/>
      <c r="C102" s="450"/>
      <c r="D102" s="380" t="e">
        <f>VLOOKUP(F102,Sheet2!$A$2:$D$31,4,0)</f>
        <v>#N/A</v>
      </c>
      <c r="E102" s="450"/>
      <c r="F102" s="188" t="str">
        <f>F101&amp;1</f>
        <v>01</v>
      </c>
      <c r="G102" s="462"/>
      <c r="H102" s="463"/>
      <c r="I102" s="464"/>
      <c r="J102" s="464"/>
      <c r="K102" s="478"/>
      <c r="L102" s="465"/>
      <c r="M102" s="152"/>
      <c r="N102" s="153"/>
    </row>
    <row r="103" spans="1:14" s="135" customFormat="1" ht="18" hidden="1" customHeight="1">
      <c r="A103" s="175"/>
      <c r="B103" s="448">
        <f>'Customs Invoice'!B98</f>
        <v>0</v>
      </c>
      <c r="C103" s="449" t="e">
        <f>'Customs Invoice'!C98</f>
        <v>#N/A</v>
      </c>
      <c r="D103" s="380" t="e">
        <f>VLOOKUP(F103,Sheet2!$A$2:$D$31,4,0)</f>
        <v>#N/A</v>
      </c>
      <c r="E103" s="450" t="e">
        <f>'Customs Invoice'!E98</f>
        <v>#N/A</v>
      </c>
      <c r="F103" s="188">
        <f>'Customs Invoice'!F98</f>
        <v>0</v>
      </c>
      <c r="G103" s="462">
        <f>'Customs Invoice'!G98</f>
        <v>0</v>
      </c>
      <c r="H103" s="463" t="e">
        <f>'Customs Invoice'!H98</f>
        <v>#N/A</v>
      </c>
      <c r="I103" s="464">
        <f>'Customs Invoice'!I98</f>
        <v>0</v>
      </c>
      <c r="J103" s="464">
        <f>'Customs Invoice'!J98</f>
        <v>0</v>
      </c>
      <c r="K103" s="478" t="e">
        <f t="shared" ref="K103" si="25">L103/G103</f>
        <v>#DIV/0!</v>
      </c>
      <c r="L103" s="465">
        <f>'Customs Invoice'!P98</f>
        <v>0</v>
      </c>
      <c r="M103" s="152"/>
      <c r="N103" s="153"/>
    </row>
    <row r="104" spans="1:14" s="135" customFormat="1" ht="18" hidden="1" customHeight="1">
      <c r="A104" s="175"/>
      <c r="B104" s="448"/>
      <c r="C104" s="450"/>
      <c r="D104" s="380" t="e">
        <f>VLOOKUP(F104,Sheet2!$A$2:$D$31,4,0)</f>
        <v>#N/A</v>
      </c>
      <c r="E104" s="450"/>
      <c r="F104" s="188" t="str">
        <f>F103&amp;1</f>
        <v>01</v>
      </c>
      <c r="G104" s="462"/>
      <c r="H104" s="463"/>
      <c r="I104" s="464"/>
      <c r="J104" s="464"/>
      <c r="K104" s="478"/>
      <c r="L104" s="465"/>
      <c r="M104" s="152"/>
      <c r="N104" s="153"/>
    </row>
    <row r="105" spans="1:14" s="135" customFormat="1" ht="18" hidden="1" customHeight="1">
      <c r="A105" s="175"/>
      <c r="B105" s="448">
        <f>'Customs Invoice'!B99</f>
        <v>0</v>
      </c>
      <c r="C105" s="449" t="e">
        <f>'Customs Invoice'!C99</f>
        <v>#N/A</v>
      </c>
      <c r="D105" s="380" t="e">
        <f>VLOOKUP(F105,Sheet2!$A$2:$D$31,4,0)</f>
        <v>#N/A</v>
      </c>
      <c r="E105" s="450" t="e">
        <f>'Customs Invoice'!E99</f>
        <v>#N/A</v>
      </c>
      <c r="F105" s="188">
        <f>'Customs Invoice'!F99</f>
        <v>0</v>
      </c>
      <c r="G105" s="462">
        <f>'Customs Invoice'!G99</f>
        <v>0</v>
      </c>
      <c r="H105" s="463" t="e">
        <f>'Customs Invoice'!H99</f>
        <v>#N/A</v>
      </c>
      <c r="I105" s="464">
        <f>'Customs Invoice'!I99</f>
        <v>0</v>
      </c>
      <c r="J105" s="464">
        <f>'Customs Invoice'!J99</f>
        <v>0</v>
      </c>
      <c r="K105" s="478" t="e">
        <f t="shared" ref="K105" si="26">L105/G105</f>
        <v>#DIV/0!</v>
      </c>
      <c r="L105" s="465">
        <f>'Customs Invoice'!P99</f>
        <v>0</v>
      </c>
      <c r="M105" s="152"/>
      <c r="N105" s="153"/>
    </row>
    <row r="106" spans="1:14" s="135" customFormat="1" ht="18" hidden="1" customHeight="1">
      <c r="A106" s="175"/>
      <c r="B106" s="448"/>
      <c r="C106" s="450"/>
      <c r="D106" s="380" t="e">
        <f>VLOOKUP(F106,Sheet2!$A$2:$D$31,4,0)</f>
        <v>#N/A</v>
      </c>
      <c r="E106" s="450"/>
      <c r="F106" s="188" t="str">
        <f>F105&amp;1</f>
        <v>01</v>
      </c>
      <c r="G106" s="462"/>
      <c r="H106" s="463"/>
      <c r="I106" s="464"/>
      <c r="J106" s="464"/>
      <c r="K106" s="478"/>
      <c r="L106" s="465"/>
      <c r="M106" s="152"/>
      <c r="N106" s="153"/>
    </row>
    <row r="107" spans="1:14" s="135" customFormat="1" ht="18" hidden="1" customHeight="1">
      <c r="A107" s="175"/>
      <c r="B107" s="448">
        <f>'Customs Invoice'!B100</f>
        <v>0</v>
      </c>
      <c r="C107" s="449" t="e">
        <f>'Customs Invoice'!C100</f>
        <v>#N/A</v>
      </c>
      <c r="D107" s="380" t="e">
        <f>VLOOKUP(F107,Sheet2!$A$2:$D$31,4,0)</f>
        <v>#N/A</v>
      </c>
      <c r="E107" s="450" t="e">
        <f>'Customs Invoice'!E100</f>
        <v>#N/A</v>
      </c>
      <c r="F107" s="188">
        <f>'Customs Invoice'!F100</f>
        <v>0</v>
      </c>
      <c r="G107" s="462">
        <f>'Customs Invoice'!G100</f>
        <v>0</v>
      </c>
      <c r="H107" s="463" t="e">
        <f>'Customs Invoice'!H100</f>
        <v>#N/A</v>
      </c>
      <c r="I107" s="464">
        <f>'Customs Invoice'!I100</f>
        <v>0</v>
      </c>
      <c r="J107" s="464">
        <f>'Customs Invoice'!J100</f>
        <v>0</v>
      </c>
      <c r="K107" s="478" t="e">
        <f t="shared" ref="K107" si="27">L107/G107</f>
        <v>#DIV/0!</v>
      </c>
      <c r="L107" s="465">
        <f>'Customs Invoice'!P100</f>
        <v>0</v>
      </c>
      <c r="M107" s="152"/>
      <c r="N107" s="153"/>
    </row>
    <row r="108" spans="1:14" s="135" customFormat="1" ht="18" hidden="1" customHeight="1">
      <c r="A108" s="175"/>
      <c r="B108" s="448"/>
      <c r="C108" s="450"/>
      <c r="D108" s="380" t="e">
        <f>VLOOKUP(F108,Sheet2!$A$2:$D$31,4,0)</f>
        <v>#N/A</v>
      </c>
      <c r="E108" s="450"/>
      <c r="F108" s="188" t="str">
        <f>F107&amp;1</f>
        <v>01</v>
      </c>
      <c r="G108" s="462"/>
      <c r="H108" s="463"/>
      <c r="I108" s="464"/>
      <c r="J108" s="464"/>
      <c r="K108" s="478"/>
      <c r="L108" s="465"/>
      <c r="M108" s="152"/>
      <c r="N108" s="153"/>
    </row>
    <row r="109" spans="1:14" s="135" customFormat="1" ht="18" hidden="1" customHeight="1">
      <c r="A109" s="175"/>
      <c r="B109" s="448">
        <f>'Customs Invoice'!B101</f>
        <v>0</v>
      </c>
      <c r="C109" s="449" t="e">
        <f>'Customs Invoice'!C101</f>
        <v>#N/A</v>
      </c>
      <c r="D109" s="380" t="e">
        <f>VLOOKUP(F109,Sheet2!$A$2:$D$31,4,0)</f>
        <v>#N/A</v>
      </c>
      <c r="E109" s="450" t="e">
        <f>'Customs Invoice'!E101</f>
        <v>#N/A</v>
      </c>
      <c r="F109" s="188">
        <f>'Customs Invoice'!F101</f>
        <v>0</v>
      </c>
      <c r="G109" s="462">
        <f>'Customs Invoice'!G101</f>
        <v>0</v>
      </c>
      <c r="H109" s="463" t="e">
        <f>'Customs Invoice'!H101</f>
        <v>#N/A</v>
      </c>
      <c r="I109" s="464">
        <f>'Customs Invoice'!I101</f>
        <v>0</v>
      </c>
      <c r="J109" s="464">
        <f>'Customs Invoice'!J101</f>
        <v>0</v>
      </c>
      <c r="K109" s="478" t="e">
        <f t="shared" ref="K109" si="28">L109/G109</f>
        <v>#DIV/0!</v>
      </c>
      <c r="L109" s="465">
        <f>'Customs Invoice'!P101</f>
        <v>0</v>
      </c>
      <c r="M109" s="152"/>
      <c r="N109" s="153"/>
    </row>
    <row r="110" spans="1:14" s="135" customFormat="1" ht="18" hidden="1" customHeight="1">
      <c r="A110" s="175"/>
      <c r="B110" s="448"/>
      <c r="C110" s="450"/>
      <c r="D110" s="380" t="e">
        <f>VLOOKUP(F110,Sheet2!$A$2:$D$31,4,0)</f>
        <v>#N/A</v>
      </c>
      <c r="E110" s="450"/>
      <c r="F110" s="188" t="str">
        <f>F109&amp;1</f>
        <v>01</v>
      </c>
      <c r="G110" s="462"/>
      <c r="H110" s="463"/>
      <c r="I110" s="464"/>
      <c r="J110" s="464"/>
      <c r="K110" s="478"/>
      <c r="L110" s="465"/>
      <c r="M110" s="152"/>
      <c r="N110" s="153"/>
    </row>
    <row r="111" spans="1:14" s="135" customFormat="1" ht="18" hidden="1" customHeight="1">
      <c r="A111" s="175"/>
      <c r="B111" s="448">
        <f>'Customs Invoice'!B102</f>
        <v>0</v>
      </c>
      <c r="C111" s="449" t="e">
        <f>'Customs Invoice'!C102</f>
        <v>#N/A</v>
      </c>
      <c r="D111" s="380" t="e">
        <f>VLOOKUP(F111,Sheet2!$A$2:$D$31,4,0)</f>
        <v>#N/A</v>
      </c>
      <c r="E111" s="450" t="e">
        <f>'Customs Invoice'!E102</f>
        <v>#N/A</v>
      </c>
      <c r="F111" s="188">
        <f>'Customs Invoice'!F102</f>
        <v>0</v>
      </c>
      <c r="G111" s="462">
        <f>'Customs Invoice'!G102</f>
        <v>0</v>
      </c>
      <c r="H111" s="463" t="e">
        <f>'Customs Invoice'!H102</f>
        <v>#N/A</v>
      </c>
      <c r="I111" s="464">
        <f>'Customs Invoice'!I102</f>
        <v>0</v>
      </c>
      <c r="J111" s="464">
        <f>'Customs Invoice'!J102</f>
        <v>0</v>
      </c>
      <c r="K111" s="478" t="e">
        <f t="shared" ref="K111" si="29">L111/G111</f>
        <v>#DIV/0!</v>
      </c>
      <c r="L111" s="465">
        <f>'Customs Invoice'!P102</f>
        <v>0</v>
      </c>
      <c r="M111" s="152"/>
      <c r="N111" s="153"/>
    </row>
    <row r="112" spans="1:14" s="135" customFormat="1" ht="18" hidden="1" customHeight="1" thickBot="1">
      <c r="A112" s="175"/>
      <c r="B112" s="470"/>
      <c r="C112" s="450"/>
      <c r="D112" s="381" t="e">
        <f>VLOOKUP(F112,Sheet2!$A$2:$D$31,4,0)</f>
        <v>#N/A</v>
      </c>
      <c r="E112" s="471"/>
      <c r="F112" s="190" t="str">
        <f>F111&amp;1</f>
        <v>01</v>
      </c>
      <c r="G112" s="472"/>
      <c r="H112" s="473"/>
      <c r="I112" s="466"/>
      <c r="J112" s="466"/>
      <c r="K112" s="479"/>
      <c r="L112" s="467"/>
      <c r="M112" s="152"/>
      <c r="N112" s="153"/>
    </row>
    <row r="113" spans="1:14" s="135" customFormat="1" ht="30" hidden="1" customHeight="1" thickBot="1">
      <c r="A113" s="175"/>
      <c r="B113" s="468" t="s">
        <v>38</v>
      </c>
      <c r="C113" s="469"/>
      <c r="D113" s="469"/>
      <c r="E113" s="469"/>
      <c r="F113" s="191"/>
      <c r="G113" s="480">
        <f>SUM(G93:G112)</f>
        <v>0</v>
      </c>
      <c r="H113" s="481"/>
      <c r="I113" s="192">
        <f>SUM(I93:I112)</f>
        <v>0</v>
      </c>
      <c r="J113" s="192">
        <f>SUM(J93:J112)</f>
        <v>0</v>
      </c>
      <c r="K113" s="203"/>
      <c r="L113" s="193">
        <f>SUM(L93:L112)</f>
        <v>0</v>
      </c>
      <c r="M113" s="152"/>
      <c r="N113" s="153"/>
    </row>
    <row r="114" spans="1:14" s="135" customFormat="1" ht="29.5" hidden="1" customHeight="1">
      <c r="A114" s="175"/>
      <c r="B114" s="119"/>
      <c r="C114" s="173"/>
      <c r="D114" s="119"/>
      <c r="E114" s="118"/>
      <c r="F114" s="118"/>
      <c r="G114" s="120"/>
      <c r="H114" s="194"/>
      <c r="I114" s="195"/>
      <c r="J114" s="195"/>
      <c r="K114" s="121"/>
      <c r="L114" s="121"/>
      <c r="M114" s="152"/>
      <c r="N114" s="153"/>
    </row>
    <row r="115" spans="1:14" s="135" customFormat="1" ht="25.5" hidden="1" customHeight="1" thickBot="1">
      <c r="A115" s="175"/>
      <c r="B115" s="176" t="s">
        <v>140</v>
      </c>
      <c r="C115" s="375"/>
      <c r="D115" s="177"/>
      <c r="E115" s="173"/>
      <c r="F115" s="173"/>
      <c r="G115" s="173"/>
      <c r="H115" s="173"/>
      <c r="I115" s="117"/>
      <c r="J115" s="376"/>
      <c r="K115" s="179"/>
      <c r="L115" s="179"/>
      <c r="M115" s="152"/>
      <c r="N115" s="153"/>
    </row>
    <row r="116" spans="1:14" s="135" customFormat="1" ht="41" hidden="1" customHeight="1" thickBot="1">
      <c r="A116" s="180"/>
      <c r="B116" s="181" t="s">
        <v>27</v>
      </c>
      <c r="C116" s="377" t="s">
        <v>131</v>
      </c>
      <c r="D116" s="377" t="s">
        <v>132</v>
      </c>
      <c r="E116" s="378" t="s">
        <v>133</v>
      </c>
      <c r="F116" s="378" t="s">
        <v>31</v>
      </c>
      <c r="G116" s="445" t="s">
        <v>134</v>
      </c>
      <c r="H116" s="446"/>
      <c r="I116" s="378" t="s">
        <v>33</v>
      </c>
      <c r="J116" s="184" t="s">
        <v>34</v>
      </c>
      <c r="K116" s="185" t="s">
        <v>135</v>
      </c>
      <c r="L116" s="186" t="s">
        <v>136</v>
      </c>
      <c r="M116" s="152"/>
      <c r="N116" s="153"/>
    </row>
    <row r="117" spans="1:14" s="135" customFormat="1" ht="18" hidden="1" customHeight="1">
      <c r="A117" s="175"/>
      <c r="B117" s="447">
        <f>'Customs Invoice'!B117</f>
        <v>0</v>
      </c>
      <c r="C117" s="449" t="e">
        <f>'Customs Invoice'!C117</f>
        <v>#N/A</v>
      </c>
      <c r="D117" s="379" t="e">
        <f>VLOOKUP(F117,Sheet2!$A$2:$D$31,4,0)</f>
        <v>#N/A</v>
      </c>
      <c r="E117" s="451" t="e">
        <f>'Customs Invoice'!E117</f>
        <v>#N/A</v>
      </c>
      <c r="F117" s="187">
        <f>'Customs Invoice'!F117</f>
        <v>0</v>
      </c>
      <c r="G117" s="452">
        <f>'Customs Invoice'!G117</f>
        <v>0</v>
      </c>
      <c r="H117" s="454" t="e">
        <f>'Customs Invoice'!H117</f>
        <v>#N/A</v>
      </c>
      <c r="I117" s="456">
        <f>'Customs Invoice'!I117</f>
        <v>0</v>
      </c>
      <c r="J117" s="456">
        <f>'Customs Invoice'!J117</f>
        <v>0</v>
      </c>
      <c r="K117" s="474" t="e">
        <f t="shared" ref="K117" si="30">L117/G117</f>
        <v>#DIV/0!</v>
      </c>
      <c r="L117" s="458">
        <f>'Customs Invoice'!P117</f>
        <v>0</v>
      </c>
      <c r="M117" s="152"/>
      <c r="N117" s="153"/>
    </row>
    <row r="118" spans="1:14" s="135" customFormat="1" ht="18" hidden="1" customHeight="1">
      <c r="A118" s="175"/>
      <c r="B118" s="448"/>
      <c r="C118" s="450"/>
      <c r="D118" s="380" t="e">
        <f>VLOOKUP(F118,Sheet2!$A$2:$D$31,4,0)</f>
        <v>#N/A</v>
      </c>
      <c r="E118" s="449"/>
      <c r="F118" s="188" t="str">
        <f>F117&amp;1</f>
        <v>01</v>
      </c>
      <c r="G118" s="453"/>
      <c r="H118" s="455"/>
      <c r="I118" s="457"/>
      <c r="J118" s="457"/>
      <c r="K118" s="475"/>
      <c r="L118" s="459"/>
      <c r="M118" s="152"/>
      <c r="N118" s="153"/>
    </row>
    <row r="119" spans="1:14" s="135" customFormat="1" ht="18" hidden="1" customHeight="1">
      <c r="A119" s="175"/>
      <c r="B119" s="448">
        <f>'Customs Invoice'!B118</f>
        <v>0</v>
      </c>
      <c r="C119" s="449" t="e">
        <f>'Customs Invoice'!C118</f>
        <v>#N/A</v>
      </c>
      <c r="D119" s="380" t="e">
        <f>VLOOKUP(F119,Sheet2!$A$2:$D$31,4,0)</f>
        <v>#N/A</v>
      </c>
      <c r="E119" s="450" t="e">
        <f>'Customs Invoice'!E118</f>
        <v>#N/A</v>
      </c>
      <c r="F119" s="188">
        <f>'Customs Invoice'!F118</f>
        <v>0</v>
      </c>
      <c r="G119" s="462">
        <f>'Customs Invoice'!G118</f>
        <v>0</v>
      </c>
      <c r="H119" s="463" t="e">
        <f>'Customs Invoice'!H118</f>
        <v>#N/A</v>
      </c>
      <c r="I119" s="464">
        <f>'Customs Invoice'!I118</f>
        <v>0</v>
      </c>
      <c r="J119" s="464">
        <f>'Customs Invoice'!J118</f>
        <v>0</v>
      </c>
      <c r="K119" s="478" t="e">
        <f t="shared" ref="K119" si="31">L119/G119</f>
        <v>#DIV/0!</v>
      </c>
      <c r="L119" s="465">
        <f>'Customs Invoice'!P118</f>
        <v>0</v>
      </c>
      <c r="M119" s="152"/>
      <c r="N119" s="153"/>
    </row>
    <row r="120" spans="1:14" s="135" customFormat="1" ht="18" hidden="1" customHeight="1">
      <c r="A120" s="175"/>
      <c r="B120" s="448"/>
      <c r="C120" s="450"/>
      <c r="D120" s="380" t="e">
        <f>VLOOKUP(F120,Sheet2!$A$2:$D$31,4,0)</f>
        <v>#N/A</v>
      </c>
      <c r="E120" s="450"/>
      <c r="F120" s="188" t="str">
        <f>F119&amp;1</f>
        <v>01</v>
      </c>
      <c r="G120" s="462"/>
      <c r="H120" s="463"/>
      <c r="I120" s="464"/>
      <c r="J120" s="464"/>
      <c r="K120" s="478"/>
      <c r="L120" s="465"/>
      <c r="M120" s="152"/>
      <c r="N120" s="153"/>
    </row>
    <row r="121" spans="1:14" s="135" customFormat="1" ht="18" hidden="1" customHeight="1">
      <c r="A121" s="175"/>
      <c r="B121" s="448">
        <f>'Customs Invoice'!B119</f>
        <v>0</v>
      </c>
      <c r="C121" s="449" t="e">
        <f>'Customs Invoice'!C119</f>
        <v>#N/A</v>
      </c>
      <c r="D121" s="380" t="e">
        <f>VLOOKUP(F121,Sheet2!$A$2:$D$31,4,0)</f>
        <v>#N/A</v>
      </c>
      <c r="E121" s="450" t="e">
        <f>'Customs Invoice'!E119</f>
        <v>#N/A</v>
      </c>
      <c r="F121" s="188">
        <f>'Customs Invoice'!F119</f>
        <v>0</v>
      </c>
      <c r="G121" s="462">
        <f>'Customs Invoice'!G119</f>
        <v>0</v>
      </c>
      <c r="H121" s="463" t="e">
        <f>'Customs Invoice'!H119</f>
        <v>#N/A</v>
      </c>
      <c r="I121" s="464">
        <f>'Customs Invoice'!I119</f>
        <v>0</v>
      </c>
      <c r="J121" s="464">
        <f>'Customs Invoice'!J119</f>
        <v>0</v>
      </c>
      <c r="K121" s="478" t="e">
        <f t="shared" ref="K121" si="32">L121/G121</f>
        <v>#DIV/0!</v>
      </c>
      <c r="L121" s="465">
        <f>'Customs Invoice'!P119</f>
        <v>0</v>
      </c>
      <c r="M121" s="152"/>
      <c r="N121" s="153"/>
    </row>
    <row r="122" spans="1:14" s="135" customFormat="1" ht="18" hidden="1" customHeight="1">
      <c r="A122" s="175"/>
      <c r="B122" s="448"/>
      <c r="C122" s="450"/>
      <c r="D122" s="380" t="e">
        <f>VLOOKUP(F122,Sheet2!$A$2:$D$31,4,0)</f>
        <v>#N/A</v>
      </c>
      <c r="E122" s="450"/>
      <c r="F122" s="188" t="str">
        <f>F121&amp;1</f>
        <v>01</v>
      </c>
      <c r="G122" s="462"/>
      <c r="H122" s="463"/>
      <c r="I122" s="464"/>
      <c r="J122" s="464"/>
      <c r="K122" s="478"/>
      <c r="L122" s="465"/>
      <c r="M122" s="152"/>
      <c r="N122" s="153"/>
    </row>
    <row r="123" spans="1:14" s="135" customFormat="1" ht="18" hidden="1" customHeight="1">
      <c r="A123" s="175"/>
      <c r="B123" s="448">
        <f>'Customs Invoice'!B120</f>
        <v>0</v>
      </c>
      <c r="C123" s="449" t="e">
        <f>'Customs Invoice'!C120</f>
        <v>#N/A</v>
      </c>
      <c r="D123" s="380" t="e">
        <f>VLOOKUP(F123,Sheet2!$A$2:$D$31,4,0)</f>
        <v>#N/A</v>
      </c>
      <c r="E123" s="450" t="e">
        <f>'Customs Invoice'!E120</f>
        <v>#N/A</v>
      </c>
      <c r="F123" s="188">
        <f>'Customs Invoice'!F120</f>
        <v>0</v>
      </c>
      <c r="G123" s="462">
        <f>'Customs Invoice'!G120</f>
        <v>0</v>
      </c>
      <c r="H123" s="463" t="e">
        <f>'Customs Invoice'!H120</f>
        <v>#N/A</v>
      </c>
      <c r="I123" s="464">
        <f>'Customs Invoice'!I120</f>
        <v>0</v>
      </c>
      <c r="J123" s="464">
        <f>'Customs Invoice'!J120</f>
        <v>0</v>
      </c>
      <c r="K123" s="478" t="e">
        <f t="shared" ref="K123" si="33">L123/G123</f>
        <v>#DIV/0!</v>
      </c>
      <c r="L123" s="465">
        <f>'Customs Invoice'!P120</f>
        <v>0</v>
      </c>
      <c r="M123" s="152"/>
      <c r="N123" s="153"/>
    </row>
    <row r="124" spans="1:14" s="135" customFormat="1" ht="18" hidden="1" customHeight="1">
      <c r="A124" s="175"/>
      <c r="B124" s="448"/>
      <c r="C124" s="450"/>
      <c r="D124" s="380" t="e">
        <f>VLOOKUP(F124,Sheet2!$A$2:$D$31,4,0)</f>
        <v>#N/A</v>
      </c>
      <c r="E124" s="450"/>
      <c r="F124" s="188" t="str">
        <f>F123&amp;1</f>
        <v>01</v>
      </c>
      <c r="G124" s="462"/>
      <c r="H124" s="463"/>
      <c r="I124" s="464"/>
      <c r="J124" s="464"/>
      <c r="K124" s="478"/>
      <c r="L124" s="465"/>
      <c r="M124" s="152"/>
      <c r="N124" s="153"/>
    </row>
    <row r="125" spans="1:14" s="135" customFormat="1" ht="18" hidden="1" customHeight="1">
      <c r="A125" s="175"/>
      <c r="B125" s="448">
        <f>'Customs Invoice'!B121</f>
        <v>0</v>
      </c>
      <c r="C125" s="449" t="e">
        <f>'Customs Invoice'!C121</f>
        <v>#N/A</v>
      </c>
      <c r="D125" s="380" t="e">
        <f>VLOOKUP(F125,Sheet2!$A$2:$D$31,4,0)</f>
        <v>#N/A</v>
      </c>
      <c r="E125" s="450" t="e">
        <f>'Customs Invoice'!E121</f>
        <v>#N/A</v>
      </c>
      <c r="F125" s="188">
        <f>'Customs Invoice'!F121</f>
        <v>0</v>
      </c>
      <c r="G125" s="462">
        <f>'Customs Invoice'!G121</f>
        <v>0</v>
      </c>
      <c r="H125" s="463" t="e">
        <f>'Customs Invoice'!H121</f>
        <v>#N/A</v>
      </c>
      <c r="I125" s="464">
        <f>'Customs Invoice'!I121</f>
        <v>0</v>
      </c>
      <c r="J125" s="464">
        <f>'Customs Invoice'!J121</f>
        <v>0</v>
      </c>
      <c r="K125" s="478" t="e">
        <f t="shared" ref="K125" si="34">L125/G125</f>
        <v>#DIV/0!</v>
      </c>
      <c r="L125" s="465">
        <f>'Customs Invoice'!P121</f>
        <v>0</v>
      </c>
      <c r="M125" s="152"/>
      <c r="N125" s="153"/>
    </row>
    <row r="126" spans="1:14" s="135" customFormat="1" ht="18" hidden="1" customHeight="1">
      <c r="A126" s="175"/>
      <c r="B126" s="448"/>
      <c r="C126" s="450"/>
      <c r="D126" s="380" t="e">
        <f>VLOOKUP(F126,Sheet2!$A$2:$D$31,4,0)</f>
        <v>#N/A</v>
      </c>
      <c r="E126" s="450"/>
      <c r="F126" s="188" t="str">
        <f>F125&amp;1</f>
        <v>01</v>
      </c>
      <c r="G126" s="462"/>
      <c r="H126" s="463"/>
      <c r="I126" s="464"/>
      <c r="J126" s="464"/>
      <c r="K126" s="478"/>
      <c r="L126" s="465"/>
      <c r="M126" s="152"/>
      <c r="N126" s="153"/>
    </row>
    <row r="127" spans="1:14" s="135" customFormat="1" ht="18" hidden="1" customHeight="1">
      <c r="A127" s="175"/>
      <c r="B127" s="448">
        <f>'Customs Invoice'!B122</f>
        <v>0</v>
      </c>
      <c r="C127" s="449" t="e">
        <f>'Customs Invoice'!C122</f>
        <v>#N/A</v>
      </c>
      <c r="D127" s="380" t="e">
        <f>VLOOKUP(F127,Sheet2!$A$2:$D$31,4,0)</f>
        <v>#N/A</v>
      </c>
      <c r="E127" s="450" t="e">
        <f>'Customs Invoice'!E122</f>
        <v>#N/A</v>
      </c>
      <c r="F127" s="188">
        <f>'Customs Invoice'!F122</f>
        <v>0</v>
      </c>
      <c r="G127" s="462">
        <f>'Customs Invoice'!G122</f>
        <v>0</v>
      </c>
      <c r="H127" s="463" t="e">
        <f>'Customs Invoice'!H122</f>
        <v>#N/A</v>
      </c>
      <c r="I127" s="464">
        <f>'Customs Invoice'!I122</f>
        <v>0</v>
      </c>
      <c r="J127" s="464">
        <f>'Customs Invoice'!J122</f>
        <v>0</v>
      </c>
      <c r="K127" s="478" t="e">
        <f t="shared" ref="K127" si="35">L127/G127</f>
        <v>#DIV/0!</v>
      </c>
      <c r="L127" s="465">
        <f>'Customs Invoice'!P122</f>
        <v>0</v>
      </c>
      <c r="M127" s="152"/>
      <c r="N127" s="153"/>
    </row>
    <row r="128" spans="1:14" s="135" customFormat="1" ht="18" hidden="1" customHeight="1">
      <c r="A128" s="175"/>
      <c r="B128" s="448"/>
      <c r="C128" s="450"/>
      <c r="D128" s="380" t="e">
        <f>VLOOKUP(F128,Sheet2!$A$2:$D$31,4,0)</f>
        <v>#N/A</v>
      </c>
      <c r="E128" s="450"/>
      <c r="F128" s="188" t="str">
        <f>F127&amp;1</f>
        <v>01</v>
      </c>
      <c r="G128" s="462"/>
      <c r="H128" s="463"/>
      <c r="I128" s="464"/>
      <c r="J128" s="464"/>
      <c r="K128" s="478"/>
      <c r="L128" s="465"/>
      <c r="M128" s="152"/>
      <c r="N128" s="153"/>
    </row>
    <row r="129" spans="1:14" s="135" customFormat="1" ht="18" hidden="1" customHeight="1">
      <c r="A129" s="175"/>
      <c r="B129" s="448">
        <f>'Customs Invoice'!B123</f>
        <v>0</v>
      </c>
      <c r="C129" s="449" t="e">
        <f>'Customs Invoice'!C123</f>
        <v>#N/A</v>
      </c>
      <c r="D129" s="380" t="e">
        <f>VLOOKUP(F129,Sheet2!$A$2:$D$31,4,0)</f>
        <v>#N/A</v>
      </c>
      <c r="E129" s="450" t="e">
        <f>'Customs Invoice'!E123</f>
        <v>#N/A</v>
      </c>
      <c r="F129" s="188">
        <f>'Customs Invoice'!F123</f>
        <v>0</v>
      </c>
      <c r="G129" s="462">
        <f>'Customs Invoice'!G123</f>
        <v>0</v>
      </c>
      <c r="H129" s="463" t="e">
        <f>'Customs Invoice'!H123</f>
        <v>#N/A</v>
      </c>
      <c r="I129" s="464">
        <f>'Customs Invoice'!I123</f>
        <v>0</v>
      </c>
      <c r="J129" s="464">
        <f>'Customs Invoice'!J123</f>
        <v>0</v>
      </c>
      <c r="K129" s="478" t="e">
        <f t="shared" ref="K129" si="36">L129/G129</f>
        <v>#DIV/0!</v>
      </c>
      <c r="L129" s="465">
        <f>'Customs Invoice'!P123</f>
        <v>0</v>
      </c>
      <c r="M129" s="152"/>
      <c r="N129" s="153"/>
    </row>
    <row r="130" spans="1:14" s="135" customFormat="1" ht="18" hidden="1" customHeight="1">
      <c r="A130" s="175"/>
      <c r="B130" s="448"/>
      <c r="C130" s="450"/>
      <c r="D130" s="380" t="e">
        <f>VLOOKUP(F130,Sheet2!$A$2:$D$31,4,0)</f>
        <v>#N/A</v>
      </c>
      <c r="E130" s="450"/>
      <c r="F130" s="188" t="str">
        <f>F129&amp;1</f>
        <v>01</v>
      </c>
      <c r="G130" s="462"/>
      <c r="H130" s="463"/>
      <c r="I130" s="464"/>
      <c r="J130" s="464"/>
      <c r="K130" s="478"/>
      <c r="L130" s="465"/>
      <c r="M130" s="152"/>
      <c r="N130" s="153"/>
    </row>
    <row r="131" spans="1:14" s="135" customFormat="1" ht="18" hidden="1" customHeight="1">
      <c r="A131" s="175"/>
      <c r="B131" s="448">
        <f>'Customs Invoice'!B124</f>
        <v>0</v>
      </c>
      <c r="C131" s="449" t="e">
        <f>'Customs Invoice'!C124</f>
        <v>#N/A</v>
      </c>
      <c r="D131" s="380" t="e">
        <f>VLOOKUP(F131,Sheet2!$A$2:$D$31,4,0)</f>
        <v>#N/A</v>
      </c>
      <c r="E131" s="450" t="e">
        <f>'Customs Invoice'!E124</f>
        <v>#N/A</v>
      </c>
      <c r="F131" s="188">
        <f>'Customs Invoice'!F124</f>
        <v>0</v>
      </c>
      <c r="G131" s="462">
        <f>'Customs Invoice'!G124</f>
        <v>0</v>
      </c>
      <c r="H131" s="463" t="e">
        <f>'Customs Invoice'!H124</f>
        <v>#N/A</v>
      </c>
      <c r="I131" s="464">
        <f>'Customs Invoice'!I124</f>
        <v>0</v>
      </c>
      <c r="J131" s="464">
        <f>'Customs Invoice'!J124</f>
        <v>0</v>
      </c>
      <c r="K131" s="478" t="e">
        <f t="shared" ref="K131" si="37">L131/G131</f>
        <v>#DIV/0!</v>
      </c>
      <c r="L131" s="465">
        <f>'Customs Invoice'!P124</f>
        <v>0</v>
      </c>
      <c r="M131" s="152"/>
      <c r="N131" s="153"/>
    </row>
    <row r="132" spans="1:14" s="135" customFormat="1" ht="18" hidden="1" customHeight="1">
      <c r="A132" s="175"/>
      <c r="B132" s="448"/>
      <c r="C132" s="450"/>
      <c r="D132" s="380" t="e">
        <f>VLOOKUP(F132,Sheet2!$A$2:$D$31,4,0)</f>
        <v>#N/A</v>
      </c>
      <c r="E132" s="450"/>
      <c r="F132" s="188" t="str">
        <f>F131&amp;1</f>
        <v>01</v>
      </c>
      <c r="G132" s="462"/>
      <c r="H132" s="463"/>
      <c r="I132" s="464"/>
      <c r="J132" s="464"/>
      <c r="K132" s="478"/>
      <c r="L132" s="465"/>
      <c r="M132" s="152"/>
      <c r="N132" s="153"/>
    </row>
    <row r="133" spans="1:14" s="135" customFormat="1" ht="18" hidden="1" customHeight="1">
      <c r="A133" s="175"/>
      <c r="B133" s="448">
        <f>'Customs Invoice'!B125</f>
        <v>0</v>
      </c>
      <c r="C133" s="449" t="e">
        <f>'Customs Invoice'!C125</f>
        <v>#N/A</v>
      </c>
      <c r="D133" s="380" t="e">
        <f>VLOOKUP(F133,Sheet2!$A$2:$D$31,4,0)</f>
        <v>#N/A</v>
      </c>
      <c r="E133" s="450" t="e">
        <f>'Customs Invoice'!E125</f>
        <v>#N/A</v>
      </c>
      <c r="F133" s="188">
        <f>'Customs Invoice'!F125</f>
        <v>0</v>
      </c>
      <c r="G133" s="462">
        <f>'Customs Invoice'!G125</f>
        <v>0</v>
      </c>
      <c r="H133" s="463" t="e">
        <f>'Customs Invoice'!H125</f>
        <v>#N/A</v>
      </c>
      <c r="I133" s="464">
        <f>'Customs Invoice'!I125</f>
        <v>0</v>
      </c>
      <c r="J133" s="464">
        <f>'Customs Invoice'!J125</f>
        <v>0</v>
      </c>
      <c r="K133" s="478" t="e">
        <f t="shared" ref="K133" si="38">L133/G133</f>
        <v>#DIV/0!</v>
      </c>
      <c r="L133" s="465">
        <f>'Customs Invoice'!P125</f>
        <v>0</v>
      </c>
      <c r="M133" s="152"/>
      <c r="N133" s="153"/>
    </row>
    <row r="134" spans="1:14" s="135" customFormat="1" ht="18" hidden="1" customHeight="1">
      <c r="A134" s="175"/>
      <c r="B134" s="448"/>
      <c r="C134" s="450"/>
      <c r="D134" s="380" t="e">
        <f>VLOOKUP(F134,Sheet2!$A$2:$D$31,4,0)</f>
        <v>#N/A</v>
      </c>
      <c r="E134" s="450"/>
      <c r="F134" s="188" t="str">
        <f>F133&amp;1</f>
        <v>01</v>
      </c>
      <c r="G134" s="462"/>
      <c r="H134" s="463"/>
      <c r="I134" s="464"/>
      <c r="J134" s="464"/>
      <c r="K134" s="478"/>
      <c r="L134" s="465"/>
      <c r="M134" s="152"/>
      <c r="N134" s="153"/>
    </row>
    <row r="135" spans="1:14" s="135" customFormat="1" ht="18" hidden="1" customHeight="1">
      <c r="A135" s="175"/>
      <c r="B135" s="448">
        <f>'Customs Invoice'!B126</f>
        <v>0</v>
      </c>
      <c r="C135" s="449" t="e">
        <f>'Customs Invoice'!C126</f>
        <v>#N/A</v>
      </c>
      <c r="D135" s="380" t="e">
        <f>VLOOKUP(F135,Sheet2!$A$2:$D$31,4,0)</f>
        <v>#N/A</v>
      </c>
      <c r="E135" s="450" t="e">
        <f>'Customs Invoice'!E126</f>
        <v>#N/A</v>
      </c>
      <c r="F135" s="188">
        <f>'Customs Invoice'!F126</f>
        <v>0</v>
      </c>
      <c r="G135" s="462">
        <f>'Customs Invoice'!G126</f>
        <v>0</v>
      </c>
      <c r="H135" s="463" t="e">
        <f>'Customs Invoice'!H126</f>
        <v>#N/A</v>
      </c>
      <c r="I135" s="464">
        <f>'Customs Invoice'!I126</f>
        <v>0</v>
      </c>
      <c r="J135" s="464">
        <f>'Customs Invoice'!J126</f>
        <v>0</v>
      </c>
      <c r="K135" s="478" t="e">
        <f t="shared" ref="K135" si="39">L135/G135</f>
        <v>#DIV/0!</v>
      </c>
      <c r="L135" s="465">
        <f>'Customs Invoice'!P126</f>
        <v>0</v>
      </c>
      <c r="M135" s="152"/>
      <c r="N135" s="153"/>
    </row>
    <row r="136" spans="1:14" s="135" customFormat="1" ht="18" hidden="1" customHeight="1" thickBot="1">
      <c r="A136" s="175"/>
      <c r="B136" s="470"/>
      <c r="C136" s="450"/>
      <c r="D136" s="381" t="e">
        <f>VLOOKUP(F136,Sheet2!$A$2:$D$31,4,0)</f>
        <v>#N/A</v>
      </c>
      <c r="E136" s="471"/>
      <c r="F136" s="190" t="str">
        <f>F135&amp;1</f>
        <v>01</v>
      </c>
      <c r="G136" s="472"/>
      <c r="H136" s="473"/>
      <c r="I136" s="466"/>
      <c r="J136" s="466"/>
      <c r="K136" s="479"/>
      <c r="L136" s="467"/>
      <c r="M136" s="152"/>
      <c r="N136" s="153"/>
    </row>
    <row r="137" spans="1:14" s="135" customFormat="1" ht="30" hidden="1" customHeight="1" thickBot="1">
      <c r="A137" s="175"/>
      <c r="B137" s="468" t="s">
        <v>38</v>
      </c>
      <c r="C137" s="469"/>
      <c r="D137" s="469"/>
      <c r="E137" s="469"/>
      <c r="F137" s="191"/>
      <c r="G137" s="480">
        <f>SUM(G117:G136)</f>
        <v>0</v>
      </c>
      <c r="H137" s="481"/>
      <c r="I137" s="192">
        <f>SUM(I117:I136)</f>
        <v>0</v>
      </c>
      <c r="J137" s="192">
        <f>SUM(J117:J136)</f>
        <v>0</v>
      </c>
      <c r="K137" s="203"/>
      <c r="L137" s="193">
        <f>SUM(L117:L136)</f>
        <v>0</v>
      </c>
      <c r="M137" s="152"/>
      <c r="N137" s="153"/>
    </row>
    <row r="138" spans="1:14" s="135" customFormat="1" ht="29.5" customHeight="1">
      <c r="A138" s="175"/>
      <c r="B138" s="119"/>
      <c r="C138" s="173"/>
      <c r="D138" s="119"/>
      <c r="E138" s="118"/>
      <c r="F138" s="118"/>
      <c r="G138" s="120"/>
      <c r="H138" s="194"/>
      <c r="I138" s="195"/>
      <c r="J138" s="195"/>
      <c r="K138" s="204"/>
      <c r="L138" s="121"/>
      <c r="M138" s="152"/>
      <c r="N138" s="153"/>
    </row>
    <row r="139" spans="1:14" s="135" customFormat="1" ht="16" thickBot="1">
      <c r="A139" s="175"/>
      <c r="B139" s="119"/>
      <c r="C139" s="173"/>
      <c r="D139" s="119"/>
      <c r="E139" s="118"/>
      <c r="F139" s="118"/>
      <c r="G139" s="120"/>
      <c r="H139" s="194"/>
      <c r="I139" s="195"/>
      <c r="J139" s="195"/>
      <c r="K139" s="121"/>
      <c r="L139" s="121"/>
      <c r="M139" s="152"/>
      <c r="N139" s="153"/>
    </row>
    <row r="140" spans="1:14" s="135" customFormat="1" ht="40" customHeight="1" thickBot="1">
      <c r="A140" s="175"/>
      <c r="B140" s="484" t="s">
        <v>47</v>
      </c>
      <c r="C140" s="485"/>
      <c r="D140" s="485"/>
      <c r="E140" s="485"/>
      <c r="F140" s="485"/>
      <c r="G140" s="485"/>
      <c r="H140" s="485"/>
      <c r="I140" s="485"/>
      <c r="J140" s="485"/>
      <c r="K140" s="486"/>
      <c r="L140" s="152"/>
      <c r="M140" s="153"/>
    </row>
    <row r="141" spans="1:14" s="135" customFormat="1" ht="41" customHeight="1" thickBot="1">
      <c r="A141" s="175"/>
      <c r="B141" s="200" t="s">
        <v>27</v>
      </c>
      <c r="C141" s="382" t="s">
        <v>131</v>
      </c>
      <c r="D141" s="382" t="s">
        <v>132</v>
      </c>
      <c r="E141" s="383" t="s">
        <v>133</v>
      </c>
      <c r="F141" s="383" t="s">
        <v>31</v>
      </c>
      <c r="G141" s="482" t="s">
        <v>134</v>
      </c>
      <c r="H141" s="483"/>
      <c r="I141" s="383" t="s">
        <v>33</v>
      </c>
      <c r="J141" s="201" t="s">
        <v>34</v>
      </c>
      <c r="K141" s="202" t="s">
        <v>171</v>
      </c>
      <c r="L141" s="152"/>
      <c r="M141" s="153"/>
    </row>
    <row r="142" spans="1:14" s="135" customFormat="1" ht="16" customHeight="1">
      <c r="A142" s="175"/>
      <c r="B142" s="447">
        <f>IFERROR(B141+1,1)</f>
        <v>1</v>
      </c>
      <c r="C142" s="449" t="str" cm="1">
        <f t="array" ref="C142">_xlfn.LET(_xlpm.DataBox, _xlfn.TOCOL(_xlfn.VSTACK($C$21:$C$40, $C$45:$C$64, $C$69:$C$88, $C$93:$C$112, $C$117:$C$136), 3), _xlpm.CleanList, _xlfn.UNIQUE(_xlfn._xlws.FILTER(_xlpm.DataBox, _xlpm.DataBox&lt;&gt;0)), _xlpm.Urutan, ROUNDUP(ROWS($C$142:C142)/2, 0), IFERROR(INDEX(_xlpm.CleanList, _xlpm.Urutan), ""))</f>
        <v/>
      </c>
      <c r="D142" s="379" t="str">
        <f>IF($C142="", "", VLOOKUP($C142, $C$21:$D$136, 2, FALSE))</f>
        <v/>
      </c>
      <c r="E142" s="449" t="str">
        <f>IF($C142="", "", VLOOKUP($C142, $C$21:$E$136, 3, FALSE))</f>
        <v/>
      </c>
      <c r="F142" s="187" t="str">
        <f>IF($C142="", "", INDEX($F$21:$F$136, MATCH($C142, $C$21:$C$136, 0)))</f>
        <v/>
      </c>
      <c r="G142" s="453" t="str">
        <f>IF($C142="", "", SUMIF($C$21:$C$136, $C142, G$21:G$136))</f>
        <v/>
      </c>
      <c r="H142" s="487" t="e">
        <f>VLOOKUP(F142,Sheet2!$A$2:$D$31,3,0)</f>
        <v>#N/A</v>
      </c>
      <c r="I142" s="457" t="str">
        <f>IF($C142="", "", SUMIF($C$21:$C$136, $C142, I$21:I$136))</f>
        <v/>
      </c>
      <c r="J142" s="457" t="str">
        <f>IF($C142="", "", SUMIF($C$21:$C$136, $C142, J$21:J$136))</f>
        <v/>
      </c>
      <c r="K142" s="459" t="str">
        <f>IF($C142="", "", SUMIF($C$21:$C$136, $C142, K$21:K$136))</f>
        <v/>
      </c>
      <c r="L142" s="152"/>
      <c r="M142" s="153"/>
    </row>
    <row r="143" spans="1:14" s="135" customFormat="1" ht="16" customHeight="1">
      <c r="A143" s="175"/>
      <c r="B143" s="448"/>
      <c r="C143" s="450"/>
      <c r="D143" s="380" t="str" cm="1">
        <f t="array" ref="D143">IF($C142="", "", INDEX($D$21:$D$136, MATCH($C142, $C$21:$C$136, 0) + 1))</f>
        <v/>
      </c>
      <c r="E143" s="450"/>
      <c r="F143" s="188" t="str" cm="1">
        <f t="array" ref="F143">IF($C142="", "", INDEX($F$21:$F$136, MATCH($C142, $C$21:$C$136, 0) + 1))</f>
        <v/>
      </c>
      <c r="G143" s="462"/>
      <c r="H143" s="463" t="e">
        <f>VLOOKUP(F143,Sheet2!$A$2:$D$31,3,0)</f>
        <v>#N/A</v>
      </c>
      <c r="I143" s="464"/>
      <c r="J143" s="464"/>
      <c r="K143" s="465"/>
      <c r="L143" s="152"/>
      <c r="M143" s="153"/>
    </row>
    <row r="144" spans="1:14" s="135" customFormat="1" ht="16" customHeight="1">
      <c r="A144" s="175"/>
      <c r="B144" s="448">
        <f>B142+1</f>
        <v>2</v>
      </c>
      <c r="C144" s="450" t="str" cm="1">
        <f t="array" ref="C144">_xlfn.LET(_xlpm.DataBox, _xlfn.TOCOL(_xlfn.VSTACK($C$21:$C$40, $C$45:$C$64, $C$69:$C$88, $C$93:$C$112, $C$117:$C$136), 3), _xlpm.CleanList, _xlfn.UNIQUE(_xlfn._xlws.FILTER(_xlpm.DataBox, _xlpm.DataBox&lt;&gt;0)), _xlpm.Urutan, ROUNDUP(ROWS($C$142:C144)/2, 0), IFERROR(INDEX(_xlpm.CleanList, _xlpm.Urutan), ""))</f>
        <v/>
      </c>
      <c r="D144" s="380" t="str">
        <f t="shared" ref="D144" si="40">IF($C144="", "", VLOOKUP($C144, $C$21:$D$136, 2, FALSE))</f>
        <v/>
      </c>
      <c r="E144" s="450" t="str">
        <f t="shared" ref="E144" si="41">IF($C144="", "", VLOOKUP($C144, $C$21:$E$136, 3, FALSE))</f>
        <v/>
      </c>
      <c r="F144" s="188" t="str">
        <f t="shared" ref="F144" si="42">IF($C144="", "", INDEX($F$21:$F$136, MATCH($C144, $C$21:$C$136, 0)))</f>
        <v/>
      </c>
      <c r="G144" s="462" t="str">
        <f t="shared" ref="G144" si="43">IF($C144="", "", SUMIF($C$21:$C$136, $C144, G$21:G$136))</f>
        <v/>
      </c>
      <c r="H144" s="463" t="e">
        <f>VLOOKUP(F144,Sheet2!$A$2:$D$31,3,0)</f>
        <v>#N/A</v>
      </c>
      <c r="I144" s="464" t="str">
        <f t="shared" ref="I144:J144" si="44">IF($C144="", "", SUMIF($C$21:$C$136, $C144, I$21:I$136))</f>
        <v/>
      </c>
      <c r="J144" s="464" t="str">
        <f t="shared" si="44"/>
        <v/>
      </c>
      <c r="K144" s="459" t="str">
        <f>IF($C144="", "", SUMIF($C$21:$C$136, $C144, K$21:K$136))</f>
        <v/>
      </c>
      <c r="L144" s="152"/>
      <c r="M144" s="153"/>
    </row>
    <row r="145" spans="1:13" s="135" customFormat="1" ht="16" customHeight="1">
      <c r="A145" s="175"/>
      <c r="B145" s="448"/>
      <c r="C145" s="450"/>
      <c r="D145" s="380" t="str" cm="1">
        <f t="array" ref="D145">IF($C144="", "", INDEX($D$21:$D$136, MATCH($C144, $C$21:$C$136, 0) + 1))</f>
        <v/>
      </c>
      <c r="E145" s="450"/>
      <c r="F145" s="188" t="str" cm="1">
        <f t="array" ref="F145">IF($C144="", "", INDEX($F$21:$F$136, MATCH($C144, $C$21:$C$136, 0) + 1))</f>
        <v/>
      </c>
      <c r="G145" s="462"/>
      <c r="H145" s="463" t="e">
        <f>VLOOKUP(F145,Sheet2!$A$2:$D$31,3,0)</f>
        <v>#N/A</v>
      </c>
      <c r="I145" s="464"/>
      <c r="J145" s="464"/>
      <c r="K145" s="465"/>
      <c r="L145" s="152"/>
      <c r="M145" s="153"/>
    </row>
    <row r="146" spans="1:13" s="135" customFormat="1" ht="16" customHeight="1">
      <c r="A146" s="175"/>
      <c r="B146" s="448">
        <f>B144+1</f>
        <v>3</v>
      </c>
      <c r="C146" s="450" t="str" cm="1">
        <f t="array" ref="C146">_xlfn.LET(_xlpm.DataBox, _xlfn.TOCOL(_xlfn.VSTACK($C$21:$C$40, $C$45:$C$64, $C$69:$C$88, $C$93:$C$112, $C$117:$C$136), 3), _xlpm.CleanList, _xlfn.UNIQUE(_xlfn._xlws.FILTER(_xlpm.DataBox, _xlpm.DataBox&lt;&gt;0)), _xlpm.Urutan, ROUNDUP(ROWS($C$142:C146)/2, 0), IFERROR(INDEX(_xlpm.CleanList, _xlpm.Urutan), ""))</f>
        <v/>
      </c>
      <c r="D146" s="380" t="str">
        <f t="shared" ref="D146" si="45">IF($C146="", "", VLOOKUP($C146, $C$21:$D$136, 2, FALSE))</f>
        <v/>
      </c>
      <c r="E146" s="450" t="str">
        <f t="shared" ref="E146" si="46">IF($C146="", "", VLOOKUP($C146, $C$21:$E$136, 3, FALSE))</f>
        <v/>
      </c>
      <c r="F146" s="188" t="str">
        <f t="shared" ref="F146" si="47">IF($C146="", "", INDEX($F$21:$F$136, MATCH($C146, $C$21:$C$136, 0)))</f>
        <v/>
      </c>
      <c r="G146" s="462" t="str">
        <f t="shared" ref="G146" si="48">IF($C146="", "", SUMIF($C$21:$C$136, $C146, G$21:G$136))</f>
        <v/>
      </c>
      <c r="H146" s="463" t="e">
        <f>VLOOKUP(F146,Sheet2!$A$2:$D$31,3,0)</f>
        <v>#N/A</v>
      </c>
      <c r="I146" s="464" t="str">
        <f t="shared" ref="I146:J146" si="49">IF($C146="", "", SUMIF($C$21:$C$136, $C146, I$21:I$136))</f>
        <v/>
      </c>
      <c r="J146" s="464" t="str">
        <f t="shared" si="49"/>
        <v/>
      </c>
      <c r="K146" s="459" t="str">
        <f>IF($C146="", "", SUMIF($C$21:$C$136, $C146, K$21:K$136))</f>
        <v/>
      </c>
      <c r="L146" s="152"/>
      <c r="M146" s="153"/>
    </row>
    <row r="147" spans="1:13" s="135" customFormat="1" ht="16" customHeight="1">
      <c r="A147" s="175"/>
      <c r="B147" s="448"/>
      <c r="C147" s="450"/>
      <c r="D147" s="380" t="str" cm="1">
        <f t="array" ref="D147">IF($C146="", "", INDEX($D$21:$D$136, MATCH($C146, $C$21:$C$136, 0) + 1))</f>
        <v/>
      </c>
      <c r="E147" s="450"/>
      <c r="F147" s="188" t="str" cm="1">
        <f t="array" ref="F147">IF($C146="", "", INDEX($F$21:$F$136, MATCH($C146, $C$21:$C$136, 0) + 1))</f>
        <v/>
      </c>
      <c r="G147" s="462"/>
      <c r="H147" s="463" t="e">
        <f>VLOOKUP(F147,Sheet2!$A$2:$D$31,3,0)</f>
        <v>#N/A</v>
      </c>
      <c r="I147" s="464"/>
      <c r="J147" s="464"/>
      <c r="K147" s="465"/>
      <c r="L147" s="152"/>
      <c r="M147" s="153"/>
    </row>
    <row r="148" spans="1:13" s="135" customFormat="1" ht="16" customHeight="1">
      <c r="A148" s="175"/>
      <c r="B148" s="448">
        <f>B146+1</f>
        <v>4</v>
      </c>
      <c r="C148" s="450" t="str" cm="1">
        <f t="array" ref="C148">_xlfn.LET(_xlpm.DataBox, _xlfn.TOCOL(_xlfn.VSTACK($C$21:$C$40, $C$45:$C$64, $C$69:$C$88, $C$93:$C$112, $C$117:$C$136), 3), _xlpm.CleanList, _xlfn.UNIQUE(_xlfn._xlws.FILTER(_xlpm.DataBox, _xlpm.DataBox&lt;&gt;0)), _xlpm.Urutan, ROUNDUP(ROWS($C$142:C148)/2, 0), IFERROR(INDEX(_xlpm.CleanList, _xlpm.Urutan), ""))</f>
        <v/>
      </c>
      <c r="D148" s="380" t="str">
        <f t="shared" ref="D148" si="50">IF($C148="", "", VLOOKUP($C148, $C$21:$D$136, 2, FALSE))</f>
        <v/>
      </c>
      <c r="E148" s="450" t="str">
        <f t="shared" ref="E148" si="51">IF($C148="", "", VLOOKUP($C148, $C$21:$E$136, 3, FALSE))</f>
        <v/>
      </c>
      <c r="F148" s="188" t="str">
        <f t="shared" ref="F148" si="52">IF($C148="", "", INDEX($F$21:$F$136, MATCH($C148, $C$21:$C$136, 0)))</f>
        <v/>
      </c>
      <c r="G148" s="462" t="str">
        <f t="shared" ref="G148" si="53">IF($C148="", "", SUMIF($C$21:$C$136, $C148, G$21:G$136))</f>
        <v/>
      </c>
      <c r="H148" s="463" t="e">
        <f>VLOOKUP(F148,Sheet2!$A$2:$D$31,3,0)</f>
        <v>#N/A</v>
      </c>
      <c r="I148" s="464" t="str">
        <f t="shared" ref="I148:J148" si="54">IF($C148="", "", SUMIF($C$21:$C$136, $C148, I$21:I$136))</f>
        <v/>
      </c>
      <c r="J148" s="464" t="str">
        <f t="shared" si="54"/>
        <v/>
      </c>
      <c r="K148" s="459" t="str">
        <f>IF($C148="", "", SUMIF($C$21:$C$136, $C148, K$21:K$136))</f>
        <v/>
      </c>
      <c r="L148" s="152"/>
      <c r="M148" s="153"/>
    </row>
    <row r="149" spans="1:13" s="135" customFormat="1" ht="16" customHeight="1">
      <c r="A149" s="175"/>
      <c r="B149" s="448"/>
      <c r="C149" s="450"/>
      <c r="D149" s="380" t="str" cm="1">
        <f t="array" ref="D149">IF($C148="", "", INDEX($D$21:$D$136, MATCH($C148, $C$21:$C$136, 0) + 1))</f>
        <v/>
      </c>
      <c r="E149" s="450"/>
      <c r="F149" s="188" t="str" cm="1">
        <f t="array" ref="F149">IF($C148="", "", INDEX($F$21:$F$136, MATCH($C148, $C$21:$C$136, 0) + 1))</f>
        <v/>
      </c>
      <c r="G149" s="462"/>
      <c r="H149" s="463" t="e">
        <f>VLOOKUP(F149,Sheet2!$A$2:$D$31,3,0)</f>
        <v>#N/A</v>
      </c>
      <c r="I149" s="464"/>
      <c r="J149" s="464"/>
      <c r="K149" s="465"/>
      <c r="L149" s="152"/>
      <c r="M149" s="153"/>
    </row>
    <row r="150" spans="1:13" s="135" customFormat="1" ht="16" customHeight="1">
      <c r="A150" s="175"/>
      <c r="B150" s="448">
        <f>B148+1</f>
        <v>5</v>
      </c>
      <c r="C150" s="450" t="str" cm="1">
        <f t="array" ref="C150">_xlfn.LET(_xlpm.DataBox, _xlfn.TOCOL(_xlfn.VSTACK($C$21:$C$40, $C$45:$C$64, $C$69:$C$88, $C$93:$C$112, $C$117:$C$136), 3), _xlpm.CleanList, _xlfn.UNIQUE(_xlfn._xlws.FILTER(_xlpm.DataBox, _xlpm.DataBox&lt;&gt;0)), _xlpm.Urutan, ROUNDUP(ROWS($C$142:C150)/2, 0), IFERROR(INDEX(_xlpm.CleanList, _xlpm.Urutan), ""))</f>
        <v/>
      </c>
      <c r="D150" s="199" t="str">
        <f t="shared" ref="D150" si="55">IF($C150="", "", VLOOKUP($C150, $C$21:$D$136, 2, FALSE))</f>
        <v/>
      </c>
      <c r="E150" s="450" t="str">
        <f t="shared" ref="E150" si="56">IF($C150="", "", VLOOKUP($C150, $C$21:$E$136, 3, FALSE))</f>
        <v/>
      </c>
      <c r="F150" s="188" t="str">
        <f t="shared" ref="F150" si="57">IF($C150="", "", INDEX($F$21:$F$136, MATCH($C150, $C$21:$C$136, 0)))</f>
        <v/>
      </c>
      <c r="G150" s="462" t="str">
        <f t="shared" ref="G150" si="58">IF($C150="", "", SUMIF($C$21:$C$136, $C150, G$21:G$136))</f>
        <v/>
      </c>
      <c r="H150" s="463" t="e">
        <f>VLOOKUP(F150,Sheet2!$A$2:$D$31,3,0)</f>
        <v>#N/A</v>
      </c>
      <c r="I150" s="464" t="str">
        <f t="shared" ref="I150:J150" si="59">IF($C150="", "", SUMIF($C$21:$C$136, $C150, I$21:I$136))</f>
        <v/>
      </c>
      <c r="J150" s="464" t="str">
        <f t="shared" si="59"/>
        <v/>
      </c>
      <c r="K150" s="459" t="str">
        <f>IF($C150="", "", SUMIF($C$21:$C$136, $C150, K$21:K$136))</f>
        <v/>
      </c>
      <c r="L150" s="152"/>
      <c r="M150" s="153"/>
    </row>
    <row r="151" spans="1:13" s="135" customFormat="1" ht="16" customHeight="1">
      <c r="A151" s="175"/>
      <c r="B151" s="448"/>
      <c r="C151" s="450"/>
      <c r="D151" s="380" t="str" cm="1">
        <f t="array" ref="D151">IF($C150="", "", INDEX($D$21:$D$136, MATCH($C150, $C$21:$C$136, 0) + 1))</f>
        <v/>
      </c>
      <c r="E151" s="450"/>
      <c r="F151" s="188" t="str" cm="1">
        <f t="array" ref="F151">IF($C150="", "", INDEX($F$21:$F$136, MATCH($C150, $C$21:$C$136, 0) + 1))</f>
        <v/>
      </c>
      <c r="G151" s="462"/>
      <c r="H151" s="463" t="e">
        <f>VLOOKUP(F151,Sheet2!$A$2:$D$31,3,0)</f>
        <v>#N/A</v>
      </c>
      <c r="I151" s="464"/>
      <c r="J151" s="464"/>
      <c r="K151" s="465"/>
      <c r="L151" s="152"/>
      <c r="M151" s="153"/>
    </row>
    <row r="152" spans="1:13" s="135" customFormat="1" ht="16" customHeight="1">
      <c r="A152" s="175"/>
      <c r="B152" s="448">
        <f>B150+1</f>
        <v>6</v>
      </c>
      <c r="C152" s="450" t="str" cm="1">
        <f t="array" ref="C152">_xlfn.LET(_xlpm.DataBox, _xlfn.TOCOL(_xlfn.VSTACK($C$21:$C$40, $C$45:$C$64, $C$69:$C$88, $C$93:$C$112, $C$117:$C$136), 3), _xlpm.CleanList, _xlfn.UNIQUE(_xlfn._xlws.FILTER(_xlpm.DataBox, _xlpm.DataBox&lt;&gt;0)), _xlpm.Urutan, ROUNDUP(ROWS($C$142:C152)/2, 0), IFERROR(INDEX(_xlpm.CleanList, _xlpm.Urutan), ""))</f>
        <v/>
      </c>
      <c r="D152" s="380" t="str">
        <f t="shared" ref="D152" si="60">IF($C152="", "", VLOOKUP($C152, $C$21:$D$136, 2, FALSE))</f>
        <v/>
      </c>
      <c r="E152" s="450" t="str">
        <f t="shared" ref="E152" si="61">IF($C152="", "", VLOOKUP($C152, $C$21:$E$136, 3, FALSE))</f>
        <v/>
      </c>
      <c r="F152" s="188" t="str">
        <f t="shared" ref="F152" si="62">IF($C152="", "", INDEX($F$21:$F$136, MATCH($C152, $C$21:$C$136, 0)))</f>
        <v/>
      </c>
      <c r="G152" s="462" t="str">
        <f t="shared" ref="G152" si="63">IF($C152="", "", SUMIF($C$21:$C$136, $C152, G$21:G$136))</f>
        <v/>
      </c>
      <c r="H152" s="463" t="e">
        <f>VLOOKUP(F152,Sheet2!$A$2:$D$31,3,0)</f>
        <v>#N/A</v>
      </c>
      <c r="I152" s="464" t="str">
        <f t="shared" ref="I152:J152" si="64">IF($C152="", "", SUMIF($C$21:$C$136, $C152, I$21:I$136))</f>
        <v/>
      </c>
      <c r="J152" s="464" t="str">
        <f t="shared" si="64"/>
        <v/>
      </c>
      <c r="K152" s="459" t="str">
        <f>IF($C152="", "", SUMIF($C$21:$C$136, $C152, K$21:K$136))</f>
        <v/>
      </c>
      <c r="L152" s="152"/>
      <c r="M152" s="153"/>
    </row>
    <row r="153" spans="1:13" s="135" customFormat="1" ht="16" customHeight="1">
      <c r="A153" s="175"/>
      <c r="B153" s="448"/>
      <c r="C153" s="450"/>
      <c r="D153" s="380" t="str" cm="1">
        <f t="array" ref="D153">IF($C152="", "", INDEX($D$21:$D$136, MATCH($C152, $C$21:$C$136, 0) + 1))</f>
        <v/>
      </c>
      <c r="E153" s="450"/>
      <c r="F153" s="188" t="str" cm="1">
        <f t="array" ref="F153">IF($C152="", "", INDEX($F$21:$F$136, MATCH($C152, $C$21:$C$136, 0) + 1))</f>
        <v/>
      </c>
      <c r="G153" s="462"/>
      <c r="H153" s="463" t="e">
        <f>VLOOKUP(F153,Sheet2!$A$2:$D$31,3,0)</f>
        <v>#N/A</v>
      </c>
      <c r="I153" s="464"/>
      <c r="J153" s="464"/>
      <c r="K153" s="465"/>
      <c r="L153" s="152"/>
      <c r="M153" s="153"/>
    </row>
    <row r="154" spans="1:13" s="135" customFormat="1" ht="16" customHeight="1">
      <c r="A154" s="175"/>
      <c r="B154" s="448">
        <f>B152+1</f>
        <v>7</v>
      </c>
      <c r="C154" s="450" t="str" cm="1">
        <f t="array" ref="C154">_xlfn.LET(_xlpm.DataBox, _xlfn.TOCOL(_xlfn.VSTACK($C$21:$C$40, $C$45:$C$64, $C$69:$C$88, $C$93:$C$112, $C$117:$C$136), 3), _xlpm.CleanList, _xlfn.UNIQUE(_xlfn._xlws.FILTER(_xlpm.DataBox, _xlpm.DataBox&lt;&gt;0)), _xlpm.Urutan, ROUNDUP(ROWS($C$142:C154)/2, 0), IFERROR(INDEX(_xlpm.CleanList, _xlpm.Urutan), ""))</f>
        <v/>
      </c>
      <c r="D154" s="380" t="str">
        <f t="shared" ref="D154" si="65">IF($C154="", "", VLOOKUP($C154, $C$21:$D$136, 2, FALSE))</f>
        <v/>
      </c>
      <c r="E154" s="450" t="str">
        <f t="shared" ref="E154" si="66">IF($C154="", "", VLOOKUP($C154, $C$21:$E$136, 3, FALSE))</f>
        <v/>
      </c>
      <c r="F154" s="188" t="str">
        <f t="shared" ref="F154" si="67">IF($C154="", "", INDEX($F$21:$F$136, MATCH($C154, $C$21:$C$136, 0)))</f>
        <v/>
      </c>
      <c r="G154" s="462" t="str">
        <f t="shared" ref="G154" si="68">IF($C154="", "", SUMIF($C$21:$C$136, $C154, G$21:G$136))</f>
        <v/>
      </c>
      <c r="H154" s="463" t="e">
        <f>VLOOKUP(F154,Sheet2!$A$2:$D$31,3,0)</f>
        <v>#N/A</v>
      </c>
      <c r="I154" s="464" t="str">
        <f t="shared" ref="I154:J154" si="69">IF($C154="", "", SUMIF($C$21:$C$136, $C154, I$21:I$136))</f>
        <v/>
      </c>
      <c r="J154" s="464" t="str">
        <f t="shared" si="69"/>
        <v/>
      </c>
      <c r="K154" s="459" t="str">
        <f>IF($C154="", "", SUMIF($C$21:$C$136, $C154, K$21:K$136))</f>
        <v/>
      </c>
      <c r="L154" s="152"/>
      <c r="M154" s="153"/>
    </row>
    <row r="155" spans="1:13" s="135" customFormat="1" ht="16" customHeight="1">
      <c r="A155" s="175"/>
      <c r="B155" s="448"/>
      <c r="C155" s="450"/>
      <c r="D155" s="380" t="str" cm="1">
        <f t="array" ref="D155">IF($C154="", "", INDEX($D$21:$D$136, MATCH($C154, $C$21:$C$136, 0) + 1))</f>
        <v/>
      </c>
      <c r="E155" s="450"/>
      <c r="F155" s="188" t="str" cm="1">
        <f t="array" ref="F155">IF($C154="", "", INDEX($F$21:$F$136, MATCH($C154, $C$21:$C$136, 0) + 1))</f>
        <v/>
      </c>
      <c r="G155" s="462"/>
      <c r="H155" s="463" t="e">
        <f>VLOOKUP(F155,Sheet2!$A$2:$D$31,3,0)</f>
        <v>#N/A</v>
      </c>
      <c r="I155" s="464"/>
      <c r="J155" s="464"/>
      <c r="K155" s="465"/>
      <c r="L155" s="152"/>
      <c r="M155" s="153"/>
    </row>
    <row r="156" spans="1:13" s="135" customFormat="1" ht="16" customHeight="1">
      <c r="A156" s="175"/>
      <c r="B156" s="448">
        <f>B154+1</f>
        <v>8</v>
      </c>
      <c r="C156" s="450" t="str" cm="1">
        <f t="array" ref="C156">_xlfn.LET(_xlpm.DataBox, _xlfn.TOCOL(_xlfn.VSTACK($C$21:$C$40, $C$45:$C$64, $C$69:$C$88, $C$93:$C$112, $C$117:$C$136), 3), _xlpm.CleanList, _xlfn.UNIQUE(_xlfn._xlws.FILTER(_xlpm.DataBox, _xlpm.DataBox&lt;&gt;0)), _xlpm.Urutan, ROUNDUP(ROWS($C$142:C156)/2, 0), IFERROR(INDEX(_xlpm.CleanList, _xlpm.Urutan), ""))</f>
        <v/>
      </c>
      <c r="D156" s="380" t="str">
        <f t="shared" ref="D156" si="70">IF($C156="", "", VLOOKUP($C156, $C$21:$D$136, 2, FALSE))</f>
        <v/>
      </c>
      <c r="E156" s="450" t="str">
        <f t="shared" ref="E156" si="71">IF($C156="", "", VLOOKUP($C156, $C$21:$E$136, 3, FALSE))</f>
        <v/>
      </c>
      <c r="F156" s="188" t="str">
        <f t="shared" ref="F156" si="72">IF($C156="", "", INDEX($F$21:$F$136, MATCH($C156, $C$21:$C$136, 0)))</f>
        <v/>
      </c>
      <c r="G156" s="462" t="str">
        <f t="shared" ref="G156" si="73">IF($C156="", "", SUMIF($C$21:$C$136, $C156, G$21:G$136))</f>
        <v/>
      </c>
      <c r="H156" s="463" t="e">
        <f>VLOOKUP(F156,Sheet2!$A$2:$D$31,3,0)</f>
        <v>#N/A</v>
      </c>
      <c r="I156" s="464" t="str">
        <f t="shared" ref="I156:J156" si="74">IF($C156="", "", SUMIF($C$21:$C$136, $C156, I$21:I$136))</f>
        <v/>
      </c>
      <c r="J156" s="464" t="str">
        <f t="shared" si="74"/>
        <v/>
      </c>
      <c r="K156" s="459" t="str">
        <f>IF($C156="", "", SUMIF($C$21:$C$136, $C156, K$21:K$136))</f>
        <v/>
      </c>
      <c r="L156" s="152"/>
      <c r="M156" s="153"/>
    </row>
    <row r="157" spans="1:13" s="135" customFormat="1" ht="16" customHeight="1">
      <c r="A157" s="175"/>
      <c r="B157" s="448"/>
      <c r="C157" s="450"/>
      <c r="D157" s="380" t="str" cm="1">
        <f t="array" ref="D157">IF($C156="", "", INDEX($D$21:$D$136, MATCH($C156, $C$21:$C$136, 0) + 1))</f>
        <v/>
      </c>
      <c r="E157" s="450"/>
      <c r="F157" s="188" t="str" cm="1">
        <f t="array" ref="F157">IF($C156="", "", INDEX($F$21:$F$136, MATCH($C156, $C$21:$C$136, 0) + 1))</f>
        <v/>
      </c>
      <c r="G157" s="462"/>
      <c r="H157" s="463" t="e">
        <f>VLOOKUP(F157,Sheet2!$A$2:$D$31,3,0)</f>
        <v>#N/A</v>
      </c>
      <c r="I157" s="464"/>
      <c r="J157" s="464"/>
      <c r="K157" s="465"/>
      <c r="L157" s="152"/>
      <c r="M157" s="153"/>
    </row>
    <row r="158" spans="1:13" s="135" customFormat="1" ht="16" customHeight="1">
      <c r="A158" s="175"/>
      <c r="B158" s="448">
        <f>B156+1</f>
        <v>9</v>
      </c>
      <c r="C158" s="450" t="str" cm="1">
        <f t="array" ref="C158">_xlfn.LET(_xlpm.DataBox, _xlfn.TOCOL(_xlfn.VSTACK($C$21:$C$40, $C$45:$C$64, $C$69:$C$88, $C$93:$C$112, $C$117:$C$136), 3), _xlpm.CleanList, _xlfn.UNIQUE(_xlfn._xlws.FILTER(_xlpm.DataBox, _xlpm.DataBox&lt;&gt;0)), _xlpm.Urutan, ROUNDUP(ROWS($C$142:C158)/2, 0), IFERROR(INDEX(_xlpm.CleanList, _xlpm.Urutan), ""))</f>
        <v/>
      </c>
      <c r="D158" s="380" t="str">
        <f t="shared" ref="D158" si="75">IF($C158="", "", VLOOKUP($C158, $C$21:$D$136, 2, FALSE))</f>
        <v/>
      </c>
      <c r="E158" s="450" t="str">
        <f t="shared" ref="E158" si="76">IF($C158="", "", VLOOKUP($C158, $C$21:$E$136, 3, FALSE))</f>
        <v/>
      </c>
      <c r="F158" s="188" t="str">
        <f t="shared" ref="F158" si="77">IF($C158="", "", INDEX($F$21:$F$136, MATCH($C158, $C$21:$C$136, 0)))</f>
        <v/>
      </c>
      <c r="G158" s="462" t="str">
        <f t="shared" ref="G158" si="78">IF($C158="", "", SUMIF($C$21:$C$136, $C158, G$21:G$136))</f>
        <v/>
      </c>
      <c r="H158" s="463" t="e">
        <f>VLOOKUP(F158,Sheet2!$A$2:$D$31,3,0)</f>
        <v>#N/A</v>
      </c>
      <c r="I158" s="464" t="str">
        <f t="shared" ref="I158:J158" si="79">IF($C158="", "", SUMIF($C$21:$C$136, $C158, I$21:I$136))</f>
        <v/>
      </c>
      <c r="J158" s="464" t="str">
        <f t="shared" si="79"/>
        <v/>
      </c>
      <c r="K158" s="459" t="str">
        <f>IF($C158="", "", SUMIF($C$21:$C$136, $C158, K$21:K$136))</f>
        <v/>
      </c>
      <c r="L158" s="152"/>
      <c r="M158" s="153"/>
    </row>
    <row r="159" spans="1:13" s="135" customFormat="1" ht="16" customHeight="1">
      <c r="A159" s="175"/>
      <c r="B159" s="448"/>
      <c r="C159" s="450"/>
      <c r="D159" s="380" t="str" cm="1">
        <f t="array" ref="D159">IF($C158="", "", INDEX($D$21:$D$136, MATCH($C158, $C$21:$C$136, 0) + 1))</f>
        <v/>
      </c>
      <c r="E159" s="450"/>
      <c r="F159" s="188" t="str" cm="1">
        <f t="array" ref="F159">IF($C158="", "", INDEX($F$21:$F$136, MATCH($C158, $C$21:$C$136, 0) + 1))</f>
        <v/>
      </c>
      <c r="G159" s="462"/>
      <c r="H159" s="463" t="e">
        <f>VLOOKUP(F159,Sheet2!$A$2:$D$31,3,0)</f>
        <v>#N/A</v>
      </c>
      <c r="I159" s="464"/>
      <c r="J159" s="464"/>
      <c r="K159" s="465"/>
      <c r="L159" s="152"/>
      <c r="M159" s="153"/>
    </row>
    <row r="160" spans="1:13" s="135" customFormat="1" ht="16" customHeight="1">
      <c r="A160" s="175"/>
      <c r="B160" s="448">
        <f>B158+1</f>
        <v>10</v>
      </c>
      <c r="C160" s="450" t="str" cm="1">
        <f t="array" ref="C160">_xlfn.LET(_xlpm.DataBox, _xlfn.TOCOL(_xlfn.VSTACK($C$21:$C$40, $C$45:$C$64, $C$69:$C$88, $C$93:$C$112, $C$117:$C$136), 3), _xlpm.CleanList, _xlfn.UNIQUE(_xlfn._xlws.FILTER(_xlpm.DataBox, _xlpm.DataBox&lt;&gt;0)), _xlpm.Urutan, ROUNDUP(ROWS($C$142:C160)/2, 0), IFERROR(INDEX(_xlpm.CleanList, _xlpm.Urutan), ""))</f>
        <v/>
      </c>
      <c r="D160" s="199" t="str">
        <f t="shared" ref="D160" si="80">IF($C160="", "", VLOOKUP($C160, $C$21:$D$136, 2, FALSE))</f>
        <v/>
      </c>
      <c r="E160" s="450" t="str">
        <f t="shared" ref="E160" si="81">IF($C160="", "", VLOOKUP($C160, $C$21:$E$136, 3, FALSE))</f>
        <v/>
      </c>
      <c r="F160" s="188" t="str">
        <f t="shared" ref="F160" si="82">IF($C160="", "", INDEX($F$21:$F$136, MATCH($C160, $C$21:$C$136, 0)))</f>
        <v/>
      </c>
      <c r="G160" s="462" t="str">
        <f t="shared" ref="G160" si="83">IF($C160="", "", SUMIF($C$21:$C$136, $C160, G$21:G$136))</f>
        <v/>
      </c>
      <c r="H160" s="463" t="e">
        <f>VLOOKUP(F160,Sheet2!$A$2:$D$31,3,0)</f>
        <v>#N/A</v>
      </c>
      <c r="I160" s="464" t="str">
        <f t="shared" ref="I160:J160" si="84">IF($C160="", "", SUMIF($C$21:$C$136, $C160, I$21:I$136))</f>
        <v/>
      </c>
      <c r="J160" s="464" t="str">
        <f t="shared" si="84"/>
        <v/>
      </c>
      <c r="K160" s="459" t="str">
        <f>IF($C160="", "", SUMIF($C$21:$C$136, $C160, K$21:K$136))</f>
        <v/>
      </c>
      <c r="L160" s="152"/>
      <c r="M160" s="153"/>
    </row>
    <row r="161" spans="1:14" s="135" customFormat="1" ht="16" customHeight="1" thickBot="1">
      <c r="A161" s="175"/>
      <c r="B161" s="470"/>
      <c r="C161" s="471"/>
      <c r="D161" s="381" t="str" cm="1">
        <f t="array" ref="D161">IF($C160="", "", INDEX($D$21:$D$136, MATCH($C160, $C$21:$C$136, 0) + 1))</f>
        <v/>
      </c>
      <c r="E161" s="471"/>
      <c r="F161" s="190" t="str" cm="1">
        <f t="array" ref="F161">IF($C160="", "", INDEX($F$21:$F$136, MATCH($C160, $C$21:$C$136, 0) + 1))</f>
        <v/>
      </c>
      <c r="G161" s="472"/>
      <c r="H161" s="473" t="e">
        <f>VLOOKUP(F161,Sheet2!$A$2:$D$31,3,0)</f>
        <v>#N/A</v>
      </c>
      <c r="I161" s="466"/>
      <c r="J161" s="466"/>
      <c r="K161" s="465"/>
      <c r="L161" s="152"/>
      <c r="M161" s="153"/>
    </row>
    <row r="162" spans="1:14" s="135" customFormat="1" ht="33.5" customHeight="1" thickBot="1">
      <c r="A162" s="175"/>
      <c r="B162" s="488" t="s">
        <v>48</v>
      </c>
      <c r="C162" s="489"/>
      <c r="D162" s="489"/>
      <c r="E162" s="489"/>
      <c r="F162" s="191"/>
      <c r="G162" s="490">
        <f>SUM(G142:G161)</f>
        <v>0</v>
      </c>
      <c r="H162" s="490"/>
      <c r="I162" s="192">
        <f>SUM(I142:I161)</f>
        <v>0</v>
      </c>
      <c r="J162" s="192">
        <f>SUM(J142:J161)</f>
        <v>0</v>
      </c>
      <c r="K162" s="193">
        <f>SUM(K142:K161)</f>
        <v>0</v>
      </c>
      <c r="M162" s="152"/>
      <c r="N162" s="153"/>
    </row>
    <row r="163" spans="1:14" s="135" customFormat="1" ht="33.5" hidden="1" customHeight="1" thickBot="1">
      <c r="A163" s="175"/>
      <c r="B163" s="119"/>
      <c r="C163" s="173"/>
      <c r="D163" s="119"/>
      <c r="E163" s="118"/>
      <c r="F163" s="118"/>
      <c r="G163" s="120"/>
      <c r="H163" s="194"/>
      <c r="I163" s="195"/>
      <c r="J163" s="366" t="s">
        <v>141</v>
      </c>
      <c r="K163" s="367">
        <v>30</v>
      </c>
      <c r="L163" s="121"/>
      <c r="M163" s="152"/>
      <c r="N163" s="153"/>
    </row>
    <row r="164" spans="1:14" s="135" customFormat="1" ht="39.5" hidden="1" customHeight="1" thickBot="1">
      <c r="A164" s="175"/>
      <c r="B164" s="119"/>
      <c r="C164" s="173"/>
      <c r="D164" s="119"/>
      <c r="E164" s="118"/>
      <c r="F164" s="118"/>
      <c r="G164" s="120"/>
      <c r="H164" s="194"/>
      <c r="I164" s="195"/>
      <c r="J164" s="356" t="s">
        <v>47</v>
      </c>
      <c r="K164" s="193">
        <f>SUM(K162:K163)</f>
        <v>30</v>
      </c>
      <c r="L164" s="121"/>
      <c r="M164" s="152"/>
      <c r="N164" s="153"/>
    </row>
    <row r="165" spans="1:14" s="135" customFormat="1" ht="15.5">
      <c r="A165" s="175"/>
      <c r="B165" s="119"/>
      <c r="C165" s="173"/>
      <c r="D165" s="119"/>
      <c r="F165" s="118"/>
      <c r="G165" s="120"/>
      <c r="H165" s="194"/>
      <c r="I165" s="195"/>
      <c r="J165" s="195"/>
      <c r="K165" s="121"/>
      <c r="L165" s="121"/>
      <c r="M165" s="152"/>
      <c r="N165" s="153"/>
    </row>
    <row r="166" spans="1:14" s="135" customFormat="1" ht="15.5">
      <c r="A166" s="175"/>
      <c r="B166" s="119"/>
      <c r="C166" s="173"/>
      <c r="D166" s="119"/>
      <c r="F166" s="118"/>
      <c r="G166" s="120"/>
      <c r="H166" s="194"/>
      <c r="I166" s="153"/>
      <c r="J166" s="195"/>
      <c r="K166" s="121"/>
      <c r="L166" s="121"/>
      <c r="M166" s="152"/>
      <c r="N166" s="153"/>
    </row>
    <row r="167" spans="1:14" s="135" customFormat="1" ht="15.5">
      <c r="A167" s="175"/>
      <c r="B167" s="119"/>
      <c r="C167" s="173"/>
      <c r="D167" s="119"/>
      <c r="F167" s="118"/>
      <c r="G167" s="120"/>
      <c r="H167" s="194"/>
      <c r="I167" s="153"/>
      <c r="J167" s="195"/>
      <c r="K167" s="121"/>
      <c r="L167" s="121"/>
      <c r="M167" s="152"/>
      <c r="N167" s="153"/>
    </row>
    <row r="168" spans="1:14" s="135" customFormat="1" ht="15.5">
      <c r="A168" s="175"/>
      <c r="B168" s="119"/>
      <c r="C168" s="173"/>
      <c r="D168" s="119"/>
      <c r="F168" s="118"/>
      <c r="G168" s="120"/>
      <c r="H168" s="194"/>
      <c r="J168" s="195"/>
      <c r="K168" s="121"/>
      <c r="L168" s="121"/>
      <c r="M168" s="152"/>
      <c r="N168" s="153"/>
    </row>
    <row r="169" spans="1:14" s="135" customFormat="1" ht="15.5">
      <c r="A169" s="175"/>
      <c r="B169" s="119"/>
      <c r="C169" s="173"/>
      <c r="D169" s="119"/>
      <c r="F169" s="118"/>
      <c r="G169" s="120"/>
      <c r="H169" s="194"/>
      <c r="J169" s="195"/>
      <c r="K169" s="121"/>
      <c r="L169" s="121"/>
      <c r="M169" s="152"/>
      <c r="N169" s="153"/>
    </row>
    <row r="170" spans="1:14" s="135" customFormat="1" ht="15.5">
      <c r="A170" s="175"/>
      <c r="B170" s="119"/>
      <c r="C170" s="173"/>
      <c r="D170" s="119"/>
      <c r="E170" s="196" t="s">
        <v>49</v>
      </c>
      <c r="F170" s="118"/>
      <c r="G170" s="120"/>
      <c r="H170" s="194"/>
      <c r="J170" s="195"/>
      <c r="K170" s="121"/>
      <c r="L170" s="121"/>
      <c r="M170" s="152"/>
      <c r="N170" s="153"/>
    </row>
    <row r="171" spans="1:14" s="135" customFormat="1" ht="15.5">
      <c r="A171" s="175"/>
      <c r="B171" s="119"/>
      <c r="C171" s="173"/>
      <c r="D171" s="119"/>
      <c r="E171" s="196"/>
      <c r="F171" s="118"/>
      <c r="G171" s="120"/>
      <c r="H171" s="194"/>
      <c r="J171" s="195"/>
      <c r="K171" s="121"/>
      <c r="L171" s="121"/>
      <c r="M171" s="152"/>
      <c r="N171" s="153"/>
    </row>
    <row r="172" spans="1:14" s="135" customFormat="1" ht="15.5">
      <c r="A172" s="175"/>
      <c r="B172" s="119"/>
      <c r="C172" s="173"/>
      <c r="D172" s="119"/>
      <c r="E172" s="196"/>
      <c r="F172" s="118"/>
      <c r="G172" s="120"/>
      <c r="H172" s="194"/>
      <c r="I172" s="153"/>
      <c r="J172" s="195"/>
      <c r="K172" s="121"/>
      <c r="L172" s="121"/>
      <c r="M172" s="152"/>
      <c r="N172" s="153"/>
    </row>
    <row r="173" spans="1:14" ht="10.5" customHeight="1">
      <c r="A173" s="142"/>
      <c r="B173" s="142"/>
      <c r="C173" s="142"/>
      <c r="D173" s="142"/>
      <c r="E173" s="197" t="s">
        <v>50</v>
      </c>
      <c r="F173" s="142"/>
      <c r="G173" s="142"/>
      <c r="H173" s="142"/>
      <c r="I173" s="142"/>
      <c r="J173" s="198"/>
      <c r="K173" s="142"/>
      <c r="L173" s="142"/>
      <c r="M173" s="141"/>
      <c r="N173" s="142"/>
    </row>
    <row r="174" spans="1:14" ht="10.5" customHeight="1">
      <c r="A174" s="142"/>
      <c r="B174" s="142"/>
      <c r="C174" s="142"/>
      <c r="D174" s="142"/>
      <c r="E174" s="142"/>
      <c r="F174" s="142"/>
      <c r="G174" s="142"/>
      <c r="H174" s="142"/>
      <c r="I174" s="142"/>
      <c r="J174" s="198"/>
      <c r="K174" s="142"/>
      <c r="L174" s="142"/>
      <c r="M174" s="141"/>
      <c r="N174" s="142"/>
    </row>
    <row r="175" spans="1:14" ht="10.5" customHeight="1">
      <c r="A175" s="142"/>
      <c r="B175" s="142"/>
      <c r="C175" s="142"/>
      <c r="D175" s="142"/>
      <c r="E175" s="142"/>
      <c r="F175" s="142"/>
      <c r="G175" s="142"/>
      <c r="H175" s="142"/>
      <c r="I175" s="142"/>
      <c r="J175" s="198"/>
      <c r="K175" s="142"/>
      <c r="L175" s="142"/>
      <c r="M175" s="141"/>
      <c r="N175" s="142"/>
    </row>
    <row r="176" spans="1:14" ht="10.5" customHeight="1">
      <c r="A176" s="142"/>
      <c r="B176" s="142"/>
      <c r="C176" s="142"/>
      <c r="D176" s="142"/>
      <c r="E176" s="142"/>
      <c r="F176" s="142"/>
      <c r="G176" s="142"/>
      <c r="H176" s="142"/>
      <c r="I176" s="142"/>
      <c r="J176" s="198"/>
      <c r="K176" s="142"/>
      <c r="L176" s="142"/>
      <c r="M176" s="141"/>
      <c r="N176" s="142"/>
    </row>
    <row r="177" spans="1:14" ht="10.5" customHeight="1">
      <c r="A177" s="142"/>
      <c r="B177" s="142"/>
      <c r="C177" s="142"/>
      <c r="D177" s="142"/>
      <c r="E177" s="142"/>
      <c r="F177" s="142"/>
      <c r="G177" s="142"/>
      <c r="H177" s="142"/>
      <c r="I177" s="142"/>
      <c r="J177" s="198"/>
      <c r="K177" s="142"/>
      <c r="L177" s="142"/>
      <c r="M177" s="141"/>
      <c r="N177" s="142"/>
    </row>
    <row r="178" spans="1:14" ht="10.5" customHeight="1">
      <c r="A178" s="142"/>
      <c r="B178" s="142"/>
      <c r="C178" s="142"/>
      <c r="D178" s="142"/>
      <c r="E178" s="142"/>
      <c r="F178" s="142"/>
      <c r="G178" s="142"/>
      <c r="H178" s="142"/>
      <c r="I178" s="142"/>
      <c r="J178" s="198"/>
      <c r="K178" s="142"/>
      <c r="L178" s="142"/>
      <c r="M178" s="141"/>
      <c r="N178" s="142"/>
    </row>
    <row r="179" spans="1:14" ht="10.5" customHeight="1">
      <c r="A179" s="142"/>
      <c r="B179" s="142"/>
      <c r="C179" s="142"/>
      <c r="D179" s="142"/>
      <c r="E179" s="142"/>
      <c r="F179" s="142"/>
      <c r="G179" s="142"/>
      <c r="H179" s="142"/>
      <c r="I179" s="142"/>
      <c r="J179" s="198"/>
      <c r="K179" s="142"/>
      <c r="L179" s="142"/>
      <c r="M179" s="141"/>
      <c r="N179" s="142"/>
    </row>
  </sheetData>
  <mergeCells count="543">
    <mergeCell ref="A1:L1"/>
    <mergeCell ref="A2:L2"/>
    <mergeCell ref="A3:L3"/>
    <mergeCell ref="L6:L9"/>
    <mergeCell ref="G20:H20"/>
    <mergeCell ref="B21:B22"/>
    <mergeCell ref="C21:C22"/>
    <mergeCell ref="E21:E22"/>
    <mergeCell ref="G21:G22"/>
    <mergeCell ref="H21:H22"/>
    <mergeCell ref="I21:I22"/>
    <mergeCell ref="J21:J22"/>
    <mergeCell ref="K21:K22"/>
    <mergeCell ref="B23:B24"/>
    <mergeCell ref="C23:C24"/>
    <mergeCell ref="E23:E24"/>
    <mergeCell ref="G23:G24"/>
    <mergeCell ref="H23:H24"/>
    <mergeCell ref="I23:I24"/>
    <mergeCell ref="J23:J24"/>
    <mergeCell ref="K23:K24"/>
    <mergeCell ref="B25:B26"/>
    <mergeCell ref="C25:C26"/>
    <mergeCell ref="E25:E26"/>
    <mergeCell ref="G25:G26"/>
    <mergeCell ref="H25:H26"/>
    <mergeCell ref="I25:I26"/>
    <mergeCell ref="J25:J26"/>
    <mergeCell ref="K25:K26"/>
    <mergeCell ref="J27:J28"/>
    <mergeCell ref="K27:K28"/>
    <mergeCell ref="B29:B30"/>
    <mergeCell ref="C29:C30"/>
    <mergeCell ref="E29:E30"/>
    <mergeCell ref="G29:G30"/>
    <mergeCell ref="H29:H30"/>
    <mergeCell ref="I29:I30"/>
    <mergeCell ref="J29:J30"/>
    <mergeCell ref="K29:K30"/>
    <mergeCell ref="B27:B28"/>
    <mergeCell ref="C27:C28"/>
    <mergeCell ref="E27:E28"/>
    <mergeCell ref="G27:G28"/>
    <mergeCell ref="H27:H28"/>
    <mergeCell ref="I27:I28"/>
    <mergeCell ref="J31:J32"/>
    <mergeCell ref="K31:K32"/>
    <mergeCell ref="B33:B34"/>
    <mergeCell ref="C33:C34"/>
    <mergeCell ref="E33:E34"/>
    <mergeCell ref="G33:G34"/>
    <mergeCell ref="H33:H34"/>
    <mergeCell ref="I33:I34"/>
    <mergeCell ref="J33:J34"/>
    <mergeCell ref="K33:K34"/>
    <mergeCell ref="B31:B32"/>
    <mergeCell ref="C31:C32"/>
    <mergeCell ref="E31:E32"/>
    <mergeCell ref="G31:G32"/>
    <mergeCell ref="H31:H32"/>
    <mergeCell ref="I31:I32"/>
    <mergeCell ref="J35:J36"/>
    <mergeCell ref="K35:K36"/>
    <mergeCell ref="B37:B38"/>
    <mergeCell ref="C37:C38"/>
    <mergeCell ref="E37:E38"/>
    <mergeCell ref="G37:G38"/>
    <mergeCell ref="H37:H38"/>
    <mergeCell ref="I37:I38"/>
    <mergeCell ref="J37:J38"/>
    <mergeCell ref="K37:K38"/>
    <mergeCell ref="B35:B36"/>
    <mergeCell ref="C35:C36"/>
    <mergeCell ref="E35:E36"/>
    <mergeCell ref="G35:G36"/>
    <mergeCell ref="H35:H36"/>
    <mergeCell ref="I35:I36"/>
    <mergeCell ref="J39:J40"/>
    <mergeCell ref="K39:K40"/>
    <mergeCell ref="B41:E41"/>
    <mergeCell ref="G41:H41"/>
    <mergeCell ref="G44:H44"/>
    <mergeCell ref="B45:B46"/>
    <mergeCell ref="C45:C46"/>
    <mergeCell ref="E45:E46"/>
    <mergeCell ref="G45:G46"/>
    <mergeCell ref="H45:H46"/>
    <mergeCell ref="B39:B40"/>
    <mergeCell ref="C39:C40"/>
    <mergeCell ref="E39:E40"/>
    <mergeCell ref="G39:G40"/>
    <mergeCell ref="H39:H40"/>
    <mergeCell ref="I39:I40"/>
    <mergeCell ref="I45:I46"/>
    <mergeCell ref="J45:J46"/>
    <mergeCell ref="K45:K46"/>
    <mergeCell ref="L45:L46"/>
    <mergeCell ref="B47:B48"/>
    <mergeCell ref="C47:C48"/>
    <mergeCell ref="E47:E48"/>
    <mergeCell ref="G47:G48"/>
    <mergeCell ref="H47:H48"/>
    <mergeCell ref="I47:I48"/>
    <mergeCell ref="J47:J48"/>
    <mergeCell ref="K47:K48"/>
    <mergeCell ref="L47:L48"/>
    <mergeCell ref="B49:B50"/>
    <mergeCell ref="C49:C50"/>
    <mergeCell ref="E49:E50"/>
    <mergeCell ref="G49:G50"/>
    <mergeCell ref="H49:H50"/>
    <mergeCell ref="I49:I50"/>
    <mergeCell ref="J49:J50"/>
    <mergeCell ref="K49:K50"/>
    <mergeCell ref="L49:L50"/>
    <mergeCell ref="B51:B52"/>
    <mergeCell ref="C51:C52"/>
    <mergeCell ref="E51:E52"/>
    <mergeCell ref="G51:G52"/>
    <mergeCell ref="H51:H52"/>
    <mergeCell ref="I51:I52"/>
    <mergeCell ref="J51:J52"/>
    <mergeCell ref="K51:K52"/>
    <mergeCell ref="L51:L52"/>
    <mergeCell ref="B53:B54"/>
    <mergeCell ref="C53:C54"/>
    <mergeCell ref="E53:E54"/>
    <mergeCell ref="G53:G54"/>
    <mergeCell ref="H53:H54"/>
    <mergeCell ref="I53:I54"/>
    <mergeCell ref="J53:J54"/>
    <mergeCell ref="K53:K54"/>
    <mergeCell ref="L53:L54"/>
    <mergeCell ref="J55:J56"/>
    <mergeCell ref="K55:K56"/>
    <mergeCell ref="L55:L56"/>
    <mergeCell ref="B57:B58"/>
    <mergeCell ref="C57:C58"/>
    <mergeCell ref="E57:E58"/>
    <mergeCell ref="G57:G58"/>
    <mergeCell ref="H57:H58"/>
    <mergeCell ref="I57:I58"/>
    <mergeCell ref="J57:J58"/>
    <mergeCell ref="B55:B56"/>
    <mergeCell ref="C55:C56"/>
    <mergeCell ref="E55:E56"/>
    <mergeCell ref="G55:G56"/>
    <mergeCell ref="H55:H56"/>
    <mergeCell ref="I55:I56"/>
    <mergeCell ref="K57:K58"/>
    <mergeCell ref="L57:L58"/>
    <mergeCell ref="B59:B60"/>
    <mergeCell ref="C59:C60"/>
    <mergeCell ref="E59:E60"/>
    <mergeCell ref="G59:G60"/>
    <mergeCell ref="H59:H60"/>
    <mergeCell ref="I59:I60"/>
    <mergeCell ref="J59:J60"/>
    <mergeCell ref="K59:K60"/>
    <mergeCell ref="L59:L60"/>
    <mergeCell ref="B61:B62"/>
    <mergeCell ref="C61:C62"/>
    <mergeCell ref="E61:E62"/>
    <mergeCell ref="G61:G62"/>
    <mergeCell ref="H61:H62"/>
    <mergeCell ref="I61:I62"/>
    <mergeCell ref="J61:J62"/>
    <mergeCell ref="K61:K62"/>
    <mergeCell ref="L61:L62"/>
    <mergeCell ref="J63:J64"/>
    <mergeCell ref="K63:K64"/>
    <mergeCell ref="L63:L64"/>
    <mergeCell ref="B65:E65"/>
    <mergeCell ref="G65:H65"/>
    <mergeCell ref="G68:H68"/>
    <mergeCell ref="B63:B64"/>
    <mergeCell ref="C63:C64"/>
    <mergeCell ref="E63:E64"/>
    <mergeCell ref="G63:G64"/>
    <mergeCell ref="H63:H64"/>
    <mergeCell ref="I63:I64"/>
    <mergeCell ref="J69:J70"/>
    <mergeCell ref="K69:K70"/>
    <mergeCell ref="L69:L70"/>
    <mergeCell ref="B71:B72"/>
    <mergeCell ref="C71:C72"/>
    <mergeCell ref="E71:E72"/>
    <mergeCell ref="G71:G72"/>
    <mergeCell ref="H71:H72"/>
    <mergeCell ref="I71:I72"/>
    <mergeCell ref="J71:J72"/>
    <mergeCell ref="B69:B70"/>
    <mergeCell ref="C69:C70"/>
    <mergeCell ref="E69:E70"/>
    <mergeCell ref="G69:G70"/>
    <mergeCell ref="H69:H70"/>
    <mergeCell ref="I69:I70"/>
    <mergeCell ref="K71:K72"/>
    <mergeCell ref="L71:L72"/>
    <mergeCell ref="B73:B74"/>
    <mergeCell ref="C73:C74"/>
    <mergeCell ref="E73:E74"/>
    <mergeCell ref="G73:G74"/>
    <mergeCell ref="H73:H74"/>
    <mergeCell ref="I73:I74"/>
    <mergeCell ref="J73:J74"/>
    <mergeCell ref="K73:K74"/>
    <mergeCell ref="L73:L74"/>
    <mergeCell ref="B75:B76"/>
    <mergeCell ref="C75:C76"/>
    <mergeCell ref="E75:E76"/>
    <mergeCell ref="G75:G76"/>
    <mergeCell ref="H75:H76"/>
    <mergeCell ref="I75:I76"/>
    <mergeCell ref="J75:J76"/>
    <mergeCell ref="K75:K76"/>
    <mergeCell ref="L75:L76"/>
    <mergeCell ref="J77:J78"/>
    <mergeCell ref="K77:K78"/>
    <mergeCell ref="L77:L78"/>
    <mergeCell ref="B79:B80"/>
    <mergeCell ref="C79:C80"/>
    <mergeCell ref="E79:E80"/>
    <mergeCell ref="G79:G80"/>
    <mergeCell ref="H79:H80"/>
    <mergeCell ref="I79:I80"/>
    <mergeCell ref="J79:J80"/>
    <mergeCell ref="B77:B78"/>
    <mergeCell ref="C77:C78"/>
    <mergeCell ref="E77:E78"/>
    <mergeCell ref="G77:G78"/>
    <mergeCell ref="H77:H78"/>
    <mergeCell ref="I77:I78"/>
    <mergeCell ref="K79:K80"/>
    <mergeCell ref="L79:L80"/>
    <mergeCell ref="B81:B82"/>
    <mergeCell ref="C81:C82"/>
    <mergeCell ref="E81:E82"/>
    <mergeCell ref="G81:G82"/>
    <mergeCell ref="H81:H82"/>
    <mergeCell ref="I81:I82"/>
    <mergeCell ref="J81:J82"/>
    <mergeCell ref="K81:K82"/>
    <mergeCell ref="L81:L82"/>
    <mergeCell ref="B83:B84"/>
    <mergeCell ref="C83:C84"/>
    <mergeCell ref="E83:E84"/>
    <mergeCell ref="G83:G84"/>
    <mergeCell ref="H83:H84"/>
    <mergeCell ref="I83:I84"/>
    <mergeCell ref="J83:J84"/>
    <mergeCell ref="K83:K84"/>
    <mergeCell ref="L83:L84"/>
    <mergeCell ref="J85:J86"/>
    <mergeCell ref="K85:K86"/>
    <mergeCell ref="L85:L86"/>
    <mergeCell ref="B87:B88"/>
    <mergeCell ref="C87:C88"/>
    <mergeCell ref="E87:E88"/>
    <mergeCell ref="G87:G88"/>
    <mergeCell ref="H87:H88"/>
    <mergeCell ref="I87:I88"/>
    <mergeCell ref="J87:J88"/>
    <mergeCell ref="B85:B86"/>
    <mergeCell ref="C85:C86"/>
    <mergeCell ref="E85:E86"/>
    <mergeCell ref="G85:G86"/>
    <mergeCell ref="H85:H86"/>
    <mergeCell ref="I85:I86"/>
    <mergeCell ref="K87:K88"/>
    <mergeCell ref="L87:L88"/>
    <mergeCell ref="B89:E89"/>
    <mergeCell ref="G89:H89"/>
    <mergeCell ref="G92:H92"/>
    <mergeCell ref="B93:B94"/>
    <mergeCell ref="C93:C94"/>
    <mergeCell ref="E93:E94"/>
    <mergeCell ref="G93:G94"/>
    <mergeCell ref="H93:H94"/>
    <mergeCell ref="I93:I94"/>
    <mergeCell ref="J93:J94"/>
    <mergeCell ref="K93:K94"/>
    <mergeCell ref="L93:L94"/>
    <mergeCell ref="B95:B96"/>
    <mergeCell ref="C95:C96"/>
    <mergeCell ref="E95:E96"/>
    <mergeCell ref="G95:G96"/>
    <mergeCell ref="H95:H96"/>
    <mergeCell ref="I95:I96"/>
    <mergeCell ref="J95:J96"/>
    <mergeCell ref="K95:K96"/>
    <mergeCell ref="L95:L96"/>
    <mergeCell ref="B97:B98"/>
    <mergeCell ref="C97:C98"/>
    <mergeCell ref="E97:E98"/>
    <mergeCell ref="G97:G98"/>
    <mergeCell ref="H97:H98"/>
    <mergeCell ref="I97:I98"/>
    <mergeCell ref="J97:J98"/>
    <mergeCell ref="K97:K98"/>
    <mergeCell ref="L97:L98"/>
    <mergeCell ref="B99:B100"/>
    <mergeCell ref="C99:C100"/>
    <mergeCell ref="E99:E100"/>
    <mergeCell ref="G99:G100"/>
    <mergeCell ref="H99:H100"/>
    <mergeCell ref="I99:I100"/>
    <mergeCell ref="J99:J100"/>
    <mergeCell ref="K99:K100"/>
    <mergeCell ref="L99:L100"/>
    <mergeCell ref="B101:B102"/>
    <mergeCell ref="C101:C102"/>
    <mergeCell ref="E101:E102"/>
    <mergeCell ref="G101:G102"/>
    <mergeCell ref="H101:H102"/>
    <mergeCell ref="I101:I102"/>
    <mergeCell ref="J101:J102"/>
    <mergeCell ref="K101:K102"/>
    <mergeCell ref="L101:L102"/>
    <mergeCell ref="J103:J104"/>
    <mergeCell ref="K103:K104"/>
    <mergeCell ref="L103:L104"/>
    <mergeCell ref="B105:B106"/>
    <mergeCell ref="C105:C106"/>
    <mergeCell ref="E105:E106"/>
    <mergeCell ref="G105:G106"/>
    <mergeCell ref="H105:H106"/>
    <mergeCell ref="I105:I106"/>
    <mergeCell ref="J105:J106"/>
    <mergeCell ref="B103:B104"/>
    <mergeCell ref="C103:C104"/>
    <mergeCell ref="E103:E104"/>
    <mergeCell ref="G103:G104"/>
    <mergeCell ref="H103:H104"/>
    <mergeCell ref="I103:I104"/>
    <mergeCell ref="K105:K106"/>
    <mergeCell ref="L105:L106"/>
    <mergeCell ref="B107:B108"/>
    <mergeCell ref="C107:C108"/>
    <mergeCell ref="E107:E108"/>
    <mergeCell ref="G107:G108"/>
    <mergeCell ref="H107:H108"/>
    <mergeCell ref="I107:I108"/>
    <mergeCell ref="J107:J108"/>
    <mergeCell ref="K107:K108"/>
    <mergeCell ref="L107:L108"/>
    <mergeCell ref="B109:B110"/>
    <mergeCell ref="C109:C110"/>
    <mergeCell ref="E109:E110"/>
    <mergeCell ref="G109:G110"/>
    <mergeCell ref="H109:H110"/>
    <mergeCell ref="I109:I110"/>
    <mergeCell ref="J109:J110"/>
    <mergeCell ref="K109:K110"/>
    <mergeCell ref="L109:L110"/>
    <mergeCell ref="J111:J112"/>
    <mergeCell ref="K111:K112"/>
    <mergeCell ref="L111:L112"/>
    <mergeCell ref="B113:E113"/>
    <mergeCell ref="G113:H113"/>
    <mergeCell ref="G116:H116"/>
    <mergeCell ref="B111:B112"/>
    <mergeCell ref="C111:C112"/>
    <mergeCell ref="E111:E112"/>
    <mergeCell ref="G111:G112"/>
    <mergeCell ref="H111:H112"/>
    <mergeCell ref="I111:I112"/>
    <mergeCell ref="J117:J118"/>
    <mergeCell ref="K117:K118"/>
    <mergeCell ref="L117:L118"/>
    <mergeCell ref="B119:B120"/>
    <mergeCell ref="C119:C120"/>
    <mergeCell ref="E119:E120"/>
    <mergeCell ref="G119:G120"/>
    <mergeCell ref="H119:H120"/>
    <mergeCell ref="I119:I120"/>
    <mergeCell ref="J119:J120"/>
    <mergeCell ref="B117:B118"/>
    <mergeCell ref="C117:C118"/>
    <mergeCell ref="E117:E118"/>
    <mergeCell ref="G117:G118"/>
    <mergeCell ref="H117:H118"/>
    <mergeCell ref="I117:I118"/>
    <mergeCell ref="K119:K120"/>
    <mergeCell ref="L119:L120"/>
    <mergeCell ref="B121:B122"/>
    <mergeCell ref="C121:C122"/>
    <mergeCell ref="E121:E122"/>
    <mergeCell ref="G121:G122"/>
    <mergeCell ref="H121:H122"/>
    <mergeCell ref="I121:I122"/>
    <mergeCell ref="J121:J122"/>
    <mergeCell ref="K121:K122"/>
    <mergeCell ref="L121:L122"/>
    <mergeCell ref="B123:B124"/>
    <mergeCell ref="C123:C124"/>
    <mergeCell ref="E123:E124"/>
    <mergeCell ref="G123:G124"/>
    <mergeCell ref="H123:H124"/>
    <mergeCell ref="I123:I124"/>
    <mergeCell ref="J123:J124"/>
    <mergeCell ref="K123:K124"/>
    <mergeCell ref="L123:L124"/>
    <mergeCell ref="J125:J126"/>
    <mergeCell ref="K125:K126"/>
    <mergeCell ref="L125:L126"/>
    <mergeCell ref="B127:B128"/>
    <mergeCell ref="C127:C128"/>
    <mergeCell ref="E127:E128"/>
    <mergeCell ref="G127:G128"/>
    <mergeCell ref="H127:H128"/>
    <mergeCell ref="I127:I128"/>
    <mergeCell ref="J127:J128"/>
    <mergeCell ref="B125:B126"/>
    <mergeCell ref="C125:C126"/>
    <mergeCell ref="E125:E126"/>
    <mergeCell ref="G125:G126"/>
    <mergeCell ref="H125:H126"/>
    <mergeCell ref="I125:I126"/>
    <mergeCell ref="K127:K128"/>
    <mergeCell ref="L127:L128"/>
    <mergeCell ref="B129:B130"/>
    <mergeCell ref="C129:C130"/>
    <mergeCell ref="E129:E130"/>
    <mergeCell ref="G129:G130"/>
    <mergeCell ref="H129:H130"/>
    <mergeCell ref="I129:I130"/>
    <mergeCell ref="J129:J130"/>
    <mergeCell ref="K129:K130"/>
    <mergeCell ref="L129:L130"/>
    <mergeCell ref="B131:B132"/>
    <mergeCell ref="C131:C132"/>
    <mergeCell ref="E131:E132"/>
    <mergeCell ref="G131:G132"/>
    <mergeCell ref="H131:H132"/>
    <mergeCell ref="I131:I132"/>
    <mergeCell ref="J131:J132"/>
    <mergeCell ref="K131:K132"/>
    <mergeCell ref="L131:L132"/>
    <mergeCell ref="K135:K136"/>
    <mergeCell ref="L135:L136"/>
    <mergeCell ref="B137:E137"/>
    <mergeCell ref="G137:H137"/>
    <mergeCell ref="B140:K140"/>
    <mergeCell ref="G141:H141"/>
    <mergeCell ref="J133:J134"/>
    <mergeCell ref="K133:K134"/>
    <mergeCell ref="L133:L134"/>
    <mergeCell ref="B135:B136"/>
    <mergeCell ref="C135:C136"/>
    <mergeCell ref="E135:E136"/>
    <mergeCell ref="G135:G136"/>
    <mergeCell ref="H135:H136"/>
    <mergeCell ref="I135:I136"/>
    <mergeCell ref="J135:J136"/>
    <mergeCell ref="B133:B134"/>
    <mergeCell ref="C133:C134"/>
    <mergeCell ref="E133:E134"/>
    <mergeCell ref="G133:G134"/>
    <mergeCell ref="H133:H134"/>
    <mergeCell ref="I133:I134"/>
    <mergeCell ref="J142:J143"/>
    <mergeCell ref="K142:K143"/>
    <mergeCell ref="B144:B145"/>
    <mergeCell ref="C144:C145"/>
    <mergeCell ref="E144:E145"/>
    <mergeCell ref="G144:G145"/>
    <mergeCell ref="H144:H145"/>
    <mergeCell ref="I144:I145"/>
    <mergeCell ref="J144:J145"/>
    <mergeCell ref="K144:K145"/>
    <mergeCell ref="B142:B143"/>
    <mergeCell ref="C142:C143"/>
    <mergeCell ref="E142:E143"/>
    <mergeCell ref="G142:G143"/>
    <mergeCell ref="H142:H143"/>
    <mergeCell ref="I142:I143"/>
    <mergeCell ref="J146:J147"/>
    <mergeCell ref="K146:K147"/>
    <mergeCell ref="B148:B149"/>
    <mergeCell ref="C148:C149"/>
    <mergeCell ref="E148:E149"/>
    <mergeCell ref="G148:G149"/>
    <mergeCell ref="H148:H149"/>
    <mergeCell ref="I148:I149"/>
    <mergeCell ref="J148:J149"/>
    <mergeCell ref="K148:K149"/>
    <mergeCell ref="B146:B147"/>
    <mergeCell ref="C146:C147"/>
    <mergeCell ref="E146:E147"/>
    <mergeCell ref="G146:G147"/>
    <mergeCell ref="H146:H147"/>
    <mergeCell ref="I146:I147"/>
    <mergeCell ref="J150:J151"/>
    <mergeCell ref="K150:K151"/>
    <mergeCell ref="B152:B153"/>
    <mergeCell ref="C152:C153"/>
    <mergeCell ref="E152:E153"/>
    <mergeCell ref="G152:G153"/>
    <mergeCell ref="H152:H153"/>
    <mergeCell ref="I152:I153"/>
    <mergeCell ref="J152:J153"/>
    <mergeCell ref="K152:K153"/>
    <mergeCell ref="B150:B151"/>
    <mergeCell ref="C150:C151"/>
    <mergeCell ref="E150:E151"/>
    <mergeCell ref="G150:G151"/>
    <mergeCell ref="H150:H151"/>
    <mergeCell ref="I150:I151"/>
    <mergeCell ref="J154:J155"/>
    <mergeCell ref="K154:K155"/>
    <mergeCell ref="B156:B157"/>
    <mergeCell ref="C156:C157"/>
    <mergeCell ref="E156:E157"/>
    <mergeCell ref="G156:G157"/>
    <mergeCell ref="H156:H157"/>
    <mergeCell ref="I156:I157"/>
    <mergeCell ref="J156:J157"/>
    <mergeCell ref="K156:K157"/>
    <mergeCell ref="B154:B155"/>
    <mergeCell ref="C154:C155"/>
    <mergeCell ref="E154:E155"/>
    <mergeCell ref="G154:G155"/>
    <mergeCell ref="H154:H155"/>
    <mergeCell ref="I154:I155"/>
    <mergeCell ref="B162:E162"/>
    <mergeCell ref="G162:H162"/>
    <mergeCell ref="J158:J159"/>
    <mergeCell ref="K158:K159"/>
    <mergeCell ref="B160:B161"/>
    <mergeCell ref="C160:C161"/>
    <mergeCell ref="E160:E161"/>
    <mergeCell ref="G160:G161"/>
    <mergeCell ref="H160:H161"/>
    <mergeCell ref="I160:I161"/>
    <mergeCell ref="J160:J161"/>
    <mergeCell ref="K160:K161"/>
    <mergeCell ref="B158:B159"/>
    <mergeCell ref="C158:C159"/>
    <mergeCell ref="E158:E159"/>
    <mergeCell ref="G158:G159"/>
    <mergeCell ref="H158:H159"/>
    <mergeCell ref="I158:I159"/>
  </mergeCells>
  <pageMargins left="0.16111111111111101" right="0.27152777777777798" top="9.7916666666666693E-2" bottom="9.7916666666666693E-2" header="0.16111111111111101" footer="0.16111111111111101"/>
  <pageSetup paperSize="9" scale="42" orientation="landscape" r:id="rId1"/>
  <headerFooter scaleWithDoc="0" alignWithMargins="0">
    <evenHeader>&amp;R&amp;9IV1910171019-0 page 2</even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FEE0-4189-42ED-97CC-BC6D98D05216}">
  <dimension ref="A1:S179"/>
  <sheetViews>
    <sheetView view="pageBreakPreview" zoomScale="85" zoomScaleNormal="55" zoomScaleSheetLayoutView="85" workbookViewId="0">
      <selection activeCell="B21" sqref="B21"/>
    </sheetView>
  </sheetViews>
  <sheetFormatPr defaultColWidth="9" defaultRowHeight="10.5" customHeight="1"/>
  <cols>
    <col min="1" max="1" width="13.33203125" style="7" customWidth="1"/>
    <col min="2" max="2" width="12.5" style="7" customWidth="1"/>
    <col min="3" max="3" width="20.58203125" style="7" customWidth="1"/>
    <col min="4" max="4" width="21.58203125" style="7" customWidth="1"/>
    <col min="5" max="5" width="25.33203125" style="7" customWidth="1"/>
    <col min="6" max="6" width="12.75" style="90" customWidth="1"/>
    <col min="7" max="8" width="6.1640625" style="7" customWidth="1"/>
    <col min="9" max="9" width="14" style="7" customWidth="1"/>
    <col min="10" max="10" width="14" style="8" customWidth="1"/>
    <col min="11" max="12" width="25.58203125" style="7" customWidth="1"/>
    <col min="13" max="13" width="25.58203125" style="9" hidden="1" customWidth="1"/>
    <col min="14" max="15" width="21.33203125" style="9" hidden="1" customWidth="1"/>
    <col min="16" max="16" width="22.33203125" style="10" hidden="1" customWidth="1"/>
    <col min="17" max="17" width="10.33203125" style="11" customWidth="1"/>
    <col min="18" max="19" width="12.5" style="7" customWidth="1"/>
    <col min="20" max="16384" width="9" style="7"/>
  </cols>
  <sheetData>
    <row r="1" spans="1:17" s="4" customFormat="1" ht="24.75" customHeight="1">
      <c r="A1" s="417" t="s">
        <v>0</v>
      </c>
      <c r="B1" s="417"/>
      <c r="C1" s="417"/>
      <c r="D1" s="417"/>
      <c r="E1" s="417"/>
      <c r="F1" s="418"/>
      <c r="G1" s="417"/>
      <c r="H1" s="417"/>
      <c r="I1" s="417"/>
      <c r="J1" s="417"/>
      <c r="K1" s="417"/>
      <c r="L1" s="417"/>
      <c r="M1" s="417"/>
      <c r="N1" s="391"/>
      <c r="O1" s="391"/>
      <c r="P1" s="56"/>
      <c r="Q1" s="56"/>
    </row>
    <row r="2" spans="1:17" ht="15.75" customHeight="1">
      <c r="A2" s="419" t="s">
        <v>1</v>
      </c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392"/>
      <c r="O2" s="392"/>
      <c r="P2" s="11"/>
    </row>
    <row r="3" spans="1:17" s="5" customFormat="1" ht="15.75" customHeight="1">
      <c r="A3" s="420" t="s">
        <v>2</v>
      </c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393"/>
      <c r="O3" s="393"/>
      <c r="P3" s="11"/>
      <c r="Q3" s="57"/>
    </row>
    <row r="4" spans="1:17" s="6" customFormat="1" ht="13" customHeight="1">
      <c r="A4" s="14" t="s">
        <v>3</v>
      </c>
      <c r="B4" s="15" t="s">
        <v>4</v>
      </c>
      <c r="C4" s="15"/>
      <c r="D4" s="16"/>
      <c r="E4" s="16"/>
      <c r="F4" s="16"/>
      <c r="G4" s="16"/>
      <c r="H4" s="17"/>
      <c r="I4" s="18" t="s">
        <v>5</v>
      </c>
      <c r="J4" s="19"/>
      <c r="K4" s="59">
        <f>'Customs Invoice'!K4</f>
        <v>0</v>
      </c>
      <c r="L4" s="402">
        <f>'Customs Invoice'!L4</f>
        <v>0</v>
      </c>
      <c r="M4" s="35"/>
      <c r="N4" s="206"/>
      <c r="O4" s="206"/>
      <c r="P4" s="11"/>
      <c r="Q4" s="58"/>
    </row>
    <row r="5" spans="1:17" s="6" customFormat="1" ht="13" customHeight="1">
      <c r="A5" s="20"/>
      <c r="B5" s="206" t="s">
        <v>6</v>
      </c>
      <c r="C5" s="206"/>
      <c r="D5" s="206"/>
      <c r="E5" s="206"/>
      <c r="F5" s="206"/>
      <c r="G5" s="206"/>
      <c r="H5" s="22"/>
      <c r="I5" s="18" t="s">
        <v>7</v>
      </c>
      <c r="J5" s="19"/>
      <c r="K5" s="59"/>
      <c r="L5" s="402"/>
      <c r="M5" s="35"/>
      <c r="N5" s="206"/>
      <c r="O5" s="206"/>
      <c r="P5" s="58"/>
      <c r="Q5" s="58"/>
    </row>
    <row r="6" spans="1:17" s="6" customFormat="1" ht="13" customHeight="1">
      <c r="A6" s="20"/>
      <c r="B6" s="206" t="s">
        <v>8</v>
      </c>
      <c r="C6" s="206"/>
      <c r="D6" s="206"/>
      <c r="E6" s="206"/>
      <c r="F6" s="206"/>
      <c r="G6" s="206"/>
      <c r="H6" s="22"/>
      <c r="I6" s="20" t="s">
        <v>142</v>
      </c>
      <c r="J6" s="23"/>
      <c r="K6" s="15">
        <f>'Customs Invoice'!K6</f>
        <v>0</v>
      </c>
      <c r="L6" s="403"/>
      <c r="M6" s="400"/>
      <c r="N6" s="350"/>
      <c r="O6" s="350"/>
      <c r="P6" s="58"/>
      <c r="Q6" s="58"/>
    </row>
    <row r="7" spans="1:17" s="6" customFormat="1" ht="13" customHeight="1">
      <c r="A7" s="20"/>
      <c r="B7" s="206" t="s">
        <v>9</v>
      </c>
      <c r="C7" s="206"/>
      <c r="D7" s="206"/>
      <c r="E7" s="206"/>
      <c r="F7" s="206"/>
      <c r="G7" s="206"/>
      <c r="H7" s="22"/>
      <c r="I7" s="20"/>
      <c r="J7" s="210"/>
      <c r="K7" s="214">
        <f>'Customs Invoice'!K7</f>
        <v>0</v>
      </c>
      <c r="L7" s="404"/>
      <c r="M7" s="401"/>
      <c r="N7" s="350"/>
      <c r="O7" s="350"/>
      <c r="P7" s="58"/>
      <c r="Q7" s="58"/>
    </row>
    <row r="8" spans="1:17" s="6" customFormat="1" ht="13" customHeight="1">
      <c r="A8" s="25"/>
      <c r="B8" s="26" t="s">
        <v>10</v>
      </c>
      <c r="C8" s="26"/>
      <c r="D8" s="26"/>
      <c r="E8" s="26"/>
      <c r="F8" s="26"/>
      <c r="G8" s="26"/>
      <c r="H8" s="27"/>
      <c r="I8" s="20"/>
      <c r="J8" s="212"/>
      <c r="K8" s="214">
        <f>'Customs Invoice'!K8</f>
        <v>0</v>
      </c>
      <c r="L8" s="404"/>
      <c r="M8" s="401"/>
      <c r="N8" s="350"/>
      <c r="O8" s="350"/>
      <c r="P8" s="58"/>
      <c r="Q8" s="58"/>
    </row>
    <row r="9" spans="1:17" s="6" customFormat="1" ht="13" customHeight="1">
      <c r="A9" s="14" t="s">
        <v>11</v>
      </c>
      <c r="B9" s="15">
        <f>'Customs Invoice'!B9</f>
        <v>0</v>
      </c>
      <c r="C9" s="15"/>
      <c r="D9" s="29"/>
      <c r="E9" s="29"/>
      <c r="F9" s="29"/>
      <c r="G9" s="29"/>
      <c r="H9" s="17"/>
      <c r="I9" s="20"/>
      <c r="J9" s="213"/>
      <c r="K9" s="214">
        <f>'Customs Invoice'!K9</f>
        <v>0</v>
      </c>
      <c r="L9" s="404"/>
      <c r="M9" s="401"/>
      <c r="N9" s="350"/>
      <c r="O9" s="350"/>
      <c r="P9" s="58"/>
      <c r="Q9" s="58"/>
    </row>
    <row r="10" spans="1:17" s="6" customFormat="1" ht="13" customHeight="1">
      <c r="A10" s="20"/>
      <c r="B10" s="214">
        <f>'Customs Invoice'!B10</f>
        <v>0</v>
      </c>
      <c r="C10" s="206"/>
      <c r="D10" s="214"/>
      <c r="E10" s="214"/>
      <c r="F10" s="214"/>
      <c r="G10" s="214"/>
      <c r="H10" s="22"/>
      <c r="I10" s="20"/>
      <c r="J10" s="213"/>
      <c r="K10" s="493" t="s">
        <v>118</v>
      </c>
      <c r="L10" s="422"/>
      <c r="M10" s="215"/>
      <c r="N10" s="210"/>
      <c r="O10" s="210"/>
      <c r="P10" s="58"/>
      <c r="Q10" s="58"/>
    </row>
    <row r="11" spans="1:17" s="6" customFormat="1" ht="13" customHeight="1">
      <c r="A11" s="20"/>
      <c r="B11" s="214">
        <f>'Customs Invoice'!B11</f>
        <v>0</v>
      </c>
      <c r="C11" s="206"/>
      <c r="D11" s="214"/>
      <c r="E11" s="214"/>
      <c r="F11" s="214"/>
      <c r="G11" s="214"/>
      <c r="H11" s="22"/>
      <c r="I11" s="20"/>
      <c r="J11" s="211"/>
      <c r="K11" s="494"/>
      <c r="L11" s="495"/>
      <c r="M11" s="126"/>
      <c r="N11" s="351"/>
      <c r="O11" s="351"/>
      <c r="P11" s="58"/>
      <c r="Q11" s="58"/>
    </row>
    <row r="12" spans="1:17" s="6" customFormat="1" ht="13" customHeight="1">
      <c r="A12" s="20"/>
      <c r="B12" s="214">
        <f>'Customs Invoice'!B12</f>
        <v>0</v>
      </c>
      <c r="C12" s="206"/>
      <c r="D12" s="214"/>
      <c r="E12" s="214"/>
      <c r="F12" s="214"/>
      <c r="G12" s="214"/>
      <c r="H12" s="22"/>
      <c r="I12" s="18" t="s">
        <v>12</v>
      </c>
      <c r="J12" s="31"/>
      <c r="K12" s="59"/>
      <c r="L12" s="35"/>
      <c r="M12" s="35"/>
      <c r="N12" s="206"/>
      <c r="O12" s="206"/>
      <c r="P12" s="60"/>
      <c r="Q12" s="58"/>
    </row>
    <row r="13" spans="1:17" s="6" customFormat="1" ht="13" customHeight="1">
      <c r="A13" s="20"/>
      <c r="B13" s="214">
        <f>'Customs Invoice'!B13</f>
        <v>0</v>
      </c>
      <c r="C13" s="206"/>
      <c r="D13" s="214"/>
      <c r="E13" s="214"/>
      <c r="F13" s="214"/>
      <c r="G13" s="214"/>
      <c r="H13" s="22"/>
      <c r="I13" s="14" t="s">
        <v>13</v>
      </c>
      <c r="J13" s="23"/>
      <c r="K13" s="29" t="s">
        <v>14</v>
      </c>
      <c r="L13" s="17" t="s">
        <v>15</v>
      </c>
      <c r="M13" s="17"/>
      <c r="N13" s="206"/>
      <c r="O13" s="206"/>
      <c r="P13" s="60"/>
      <c r="Q13" s="61"/>
    </row>
    <row r="14" spans="1:17" s="6" customFormat="1" ht="13" customHeight="1">
      <c r="A14" s="25"/>
      <c r="B14" s="214">
        <f>'Customs Invoice'!B14</f>
        <v>0</v>
      </c>
      <c r="C14" s="32"/>
      <c r="D14" s="26"/>
      <c r="E14" s="26"/>
      <c r="F14" s="26"/>
      <c r="G14" s="26"/>
      <c r="H14" s="27"/>
      <c r="I14" s="20"/>
      <c r="J14" s="211"/>
      <c r="K14" s="206" t="s">
        <v>16</v>
      </c>
      <c r="L14" s="22"/>
      <c r="M14" s="22"/>
      <c r="N14" s="206"/>
      <c r="O14" s="206"/>
      <c r="P14" s="60"/>
      <c r="Q14" s="61"/>
    </row>
    <row r="15" spans="1:17" s="6" customFormat="1" ht="13" customHeight="1">
      <c r="A15" s="33" t="s">
        <v>17</v>
      </c>
      <c r="B15" s="122">
        <f>'Customs Invoice'!B15</f>
        <v>0</v>
      </c>
      <c r="C15" s="86"/>
      <c r="D15" s="34" t="s">
        <v>18</v>
      </c>
      <c r="E15" s="34"/>
      <c r="F15" s="34"/>
      <c r="G15" s="34"/>
      <c r="H15" s="35"/>
      <c r="I15" s="20"/>
      <c r="J15" s="216"/>
      <c r="K15" s="206" t="s">
        <v>19</v>
      </c>
      <c r="L15" s="405"/>
      <c r="M15" s="22"/>
      <c r="N15" s="206"/>
      <c r="O15" s="206"/>
      <c r="P15" s="60"/>
      <c r="Q15" s="61"/>
    </row>
    <row r="16" spans="1:17" s="6" customFormat="1" ht="13" customHeight="1">
      <c r="A16" s="18" t="s">
        <v>20</v>
      </c>
      <c r="B16" s="59">
        <f>'Customs Invoice'!B16</f>
        <v>0</v>
      </c>
      <c r="C16" s="210"/>
      <c r="D16" s="37" t="s">
        <v>21</v>
      </c>
      <c r="E16" s="37"/>
      <c r="F16" s="37"/>
      <c r="G16" s="37"/>
      <c r="H16" s="35"/>
      <c r="I16" s="25"/>
      <c r="J16" s="26"/>
      <c r="K16" s="26" t="s">
        <v>22</v>
      </c>
      <c r="L16" s="406">
        <v>1</v>
      </c>
      <c r="M16" s="27"/>
      <c r="N16" s="206"/>
      <c r="O16" s="206"/>
      <c r="P16" s="61"/>
      <c r="Q16" s="58"/>
    </row>
    <row r="17" spans="1:19" s="6" customFormat="1" ht="13" customHeight="1">
      <c r="A17" s="38" t="s">
        <v>169</v>
      </c>
      <c r="B17" s="399">
        <f>'Customs Invoice'!B17</f>
        <v>0</v>
      </c>
      <c r="C17" s="37"/>
      <c r="D17" s="37"/>
      <c r="E17" s="37"/>
      <c r="F17" s="37"/>
      <c r="G17" s="37"/>
      <c r="H17" s="35"/>
      <c r="I17" s="18" t="s">
        <v>24</v>
      </c>
      <c r="J17" s="19"/>
      <c r="K17" s="59" t="s">
        <v>25</v>
      </c>
      <c r="L17" s="35"/>
      <c r="M17" s="35"/>
      <c r="N17" s="206"/>
      <c r="O17" s="206"/>
      <c r="P17" s="58"/>
      <c r="Q17" s="58"/>
    </row>
    <row r="18" spans="1:19" s="6" customFormat="1" ht="15" customHeight="1">
      <c r="A18" s="39"/>
      <c r="B18" s="21"/>
      <c r="C18" s="21"/>
      <c r="D18" s="21"/>
      <c r="E18" s="21"/>
      <c r="F18" s="21"/>
      <c r="G18" s="21"/>
      <c r="H18" s="24"/>
      <c r="I18" s="30"/>
      <c r="J18" s="21"/>
      <c r="K18" s="30"/>
      <c r="L18" s="30"/>
      <c r="M18" s="21"/>
      <c r="N18" s="21"/>
      <c r="O18" s="21"/>
      <c r="P18" s="58"/>
      <c r="Q18" s="58"/>
    </row>
    <row r="19" spans="1:19" s="6" customFormat="1" ht="25.5" customHeight="1" thickBot="1">
      <c r="A19" s="30"/>
      <c r="B19" s="40" t="s">
        <v>26</v>
      </c>
      <c r="C19" s="21"/>
      <c r="D19" s="41"/>
      <c r="E19" s="21"/>
      <c r="F19" s="21"/>
      <c r="G19" s="21"/>
      <c r="H19" s="21"/>
      <c r="I19" s="63"/>
      <c r="J19" s="393"/>
      <c r="K19" s="64"/>
      <c r="L19" s="64"/>
      <c r="M19" s="65"/>
      <c r="N19" s="65"/>
      <c r="O19" s="65"/>
      <c r="P19" s="66"/>
      <c r="Q19" s="58"/>
    </row>
    <row r="20" spans="1:19" s="6" customFormat="1" ht="50" customHeight="1">
      <c r="A20" s="42"/>
      <c r="B20" s="43" t="s">
        <v>27</v>
      </c>
      <c r="C20" s="44" t="s">
        <v>28</v>
      </c>
      <c r="D20" s="44" t="s">
        <v>29</v>
      </c>
      <c r="E20" s="394" t="s">
        <v>30</v>
      </c>
      <c r="F20" s="394" t="s">
        <v>31</v>
      </c>
      <c r="G20" s="414" t="s">
        <v>32</v>
      </c>
      <c r="H20" s="414"/>
      <c r="I20" s="394" t="s">
        <v>33</v>
      </c>
      <c r="J20" s="67" t="s">
        <v>34</v>
      </c>
      <c r="K20" s="92" t="s">
        <v>172</v>
      </c>
      <c r="L20" s="93" t="s">
        <v>167</v>
      </c>
      <c r="M20" s="395" t="s">
        <v>37</v>
      </c>
      <c r="N20" s="388" t="s">
        <v>166</v>
      </c>
      <c r="O20" s="92" t="s">
        <v>170</v>
      </c>
      <c r="P20" s="395" t="s">
        <v>120</v>
      </c>
      <c r="Q20" s="58"/>
      <c r="R20" s="364" t="s">
        <v>167</v>
      </c>
      <c r="S20" s="364" t="s">
        <v>33</v>
      </c>
    </row>
    <row r="21" spans="1:19" s="6" customFormat="1" ht="18" customHeight="1">
      <c r="A21" s="30"/>
      <c r="B21" s="46">
        <v>1</v>
      </c>
      <c r="C21" s="94" t="e">
        <f>CONCATENATE("FGG-",MID(E21,1,3),MID(E21,10,1),"-ASU")</f>
        <v>#N/A</v>
      </c>
      <c r="D21" s="47" t="e">
        <f>'Customs Invoice'!D21</f>
        <v>#N/A</v>
      </c>
      <c r="E21" s="48" t="e">
        <f>'Customs Invoice'!E21</f>
        <v>#N/A</v>
      </c>
      <c r="F21" s="48">
        <f>'Customs Invoice'!F21</f>
        <v>0</v>
      </c>
      <c r="G21" s="49">
        <f>'Customs Invoice'!G21</f>
        <v>0</v>
      </c>
      <c r="H21" s="223" t="e">
        <f>'Customs Invoice'!H21</f>
        <v>#N/A</v>
      </c>
      <c r="I21" s="68">
        <f>'Customs Invoice'!I21</f>
        <v>0</v>
      </c>
      <c r="J21" s="95" t="e">
        <f>'Customs Invoice'!J21</f>
        <v>#DIV/0!</v>
      </c>
      <c r="K21" s="407" t="e">
        <f>L21/G21</f>
        <v>#DIV/0!</v>
      </c>
      <c r="L21" s="103">
        <f>'Customs Invoice'!L21</f>
        <v>0</v>
      </c>
      <c r="M21" s="386"/>
      <c r="N21" s="389"/>
      <c r="O21" s="96"/>
      <c r="P21" s="386"/>
      <c r="Q21" s="58"/>
      <c r="R21" s="365">
        <f>L21</f>
        <v>0</v>
      </c>
      <c r="S21" s="365">
        <f>I21</f>
        <v>0</v>
      </c>
    </row>
    <row r="22" spans="1:19" s="6" customFormat="1" ht="18" customHeight="1">
      <c r="A22" s="30"/>
      <c r="B22" s="46">
        <v>2</v>
      </c>
      <c r="C22" s="94" t="e">
        <f t="shared" ref="C22:C40" si="0">CONCATENATE("FGG-",MID(E22,1,3),MID(E22,10,1),"-ASU")</f>
        <v>#N/A</v>
      </c>
      <c r="D22" s="47" t="e">
        <f>'Customs Invoice'!D22</f>
        <v>#N/A</v>
      </c>
      <c r="E22" s="48" t="e">
        <f>'Customs Invoice'!E22</f>
        <v>#N/A</v>
      </c>
      <c r="F22" s="48">
        <f>'Customs Invoice'!F22</f>
        <v>0</v>
      </c>
      <c r="G22" s="49">
        <f>'Customs Invoice'!G22</f>
        <v>0</v>
      </c>
      <c r="H22" s="223" t="e">
        <f>'Customs Invoice'!H22</f>
        <v>#N/A</v>
      </c>
      <c r="I22" s="68">
        <f>'Customs Invoice'!I22</f>
        <v>0</v>
      </c>
      <c r="J22" s="95">
        <f>'Customs Invoice'!J22</f>
        <v>0</v>
      </c>
      <c r="K22" s="96" t="e">
        <f t="shared" ref="K22:K40" si="1">L22/G22</f>
        <v>#DIV/0!</v>
      </c>
      <c r="L22" s="103">
        <f>'Customs Invoice'!L22</f>
        <v>0</v>
      </c>
      <c r="M22" s="386"/>
      <c r="N22" s="389"/>
      <c r="O22" s="96"/>
      <c r="P22" s="386"/>
      <c r="Q22" s="58"/>
      <c r="R22" s="365">
        <f>L22</f>
        <v>0</v>
      </c>
      <c r="S22" s="365">
        <f t="shared" ref="S22:S39" si="2">I22</f>
        <v>0</v>
      </c>
    </row>
    <row r="23" spans="1:19" s="6" customFormat="1" ht="18" customHeight="1">
      <c r="A23" s="30"/>
      <c r="B23" s="46">
        <v>3</v>
      </c>
      <c r="C23" s="94" t="e">
        <f t="shared" si="0"/>
        <v>#N/A</v>
      </c>
      <c r="D23" s="47" t="e">
        <f>'Customs Invoice'!D23</f>
        <v>#N/A</v>
      </c>
      <c r="E23" s="48" t="e">
        <f>'Customs Invoice'!E23</f>
        <v>#N/A</v>
      </c>
      <c r="F23" s="48">
        <f>'Customs Invoice'!F23</f>
        <v>0</v>
      </c>
      <c r="G23" s="49">
        <f>'Customs Invoice'!G23</f>
        <v>0</v>
      </c>
      <c r="H23" s="223" t="e">
        <f>'Customs Invoice'!H23</f>
        <v>#N/A</v>
      </c>
      <c r="I23" s="68">
        <f>'Customs Invoice'!I23</f>
        <v>0</v>
      </c>
      <c r="J23" s="95">
        <f>'Customs Invoice'!J23</f>
        <v>0</v>
      </c>
      <c r="K23" s="96" t="e">
        <f t="shared" si="1"/>
        <v>#DIV/0!</v>
      </c>
      <c r="L23" s="103">
        <f>'Customs Invoice'!L23</f>
        <v>0</v>
      </c>
      <c r="M23" s="386"/>
      <c r="N23" s="389"/>
      <c r="O23" s="96"/>
      <c r="P23" s="386"/>
      <c r="Q23" s="58"/>
      <c r="R23" s="365">
        <f t="shared" ref="R23:R39" si="3">L23</f>
        <v>0</v>
      </c>
      <c r="S23" s="365">
        <f t="shared" si="2"/>
        <v>0</v>
      </c>
    </row>
    <row r="24" spans="1:19" s="6" customFormat="1" ht="18" customHeight="1">
      <c r="A24" s="30"/>
      <c r="B24" s="46">
        <v>4</v>
      </c>
      <c r="C24" s="94" t="e">
        <f t="shared" si="0"/>
        <v>#N/A</v>
      </c>
      <c r="D24" s="47" t="e">
        <f>'Customs Invoice'!D24</f>
        <v>#N/A</v>
      </c>
      <c r="E24" s="48" t="e">
        <f>'Customs Invoice'!E24</f>
        <v>#N/A</v>
      </c>
      <c r="F24" s="48">
        <f>'Customs Invoice'!F24</f>
        <v>0</v>
      </c>
      <c r="G24" s="49">
        <f>'Customs Invoice'!G24</f>
        <v>0</v>
      </c>
      <c r="H24" s="223" t="e">
        <f>'Customs Invoice'!H24</f>
        <v>#N/A</v>
      </c>
      <c r="I24" s="68">
        <f>'Customs Invoice'!I24</f>
        <v>0</v>
      </c>
      <c r="J24" s="95">
        <f>'Customs Invoice'!J24</f>
        <v>0</v>
      </c>
      <c r="K24" s="96" t="e">
        <f t="shared" si="1"/>
        <v>#DIV/0!</v>
      </c>
      <c r="L24" s="103">
        <f>'Customs Invoice'!L24</f>
        <v>0</v>
      </c>
      <c r="M24" s="386"/>
      <c r="N24" s="389"/>
      <c r="O24" s="96"/>
      <c r="P24" s="386"/>
      <c r="Q24" s="58"/>
      <c r="R24" s="365">
        <f t="shared" si="3"/>
        <v>0</v>
      </c>
      <c r="S24" s="365">
        <f t="shared" si="2"/>
        <v>0</v>
      </c>
    </row>
    <row r="25" spans="1:19" s="6" customFormat="1" ht="18" customHeight="1">
      <c r="A25" s="30"/>
      <c r="B25" s="46">
        <v>5</v>
      </c>
      <c r="C25" s="94" t="e">
        <f t="shared" si="0"/>
        <v>#N/A</v>
      </c>
      <c r="D25" s="47" t="e">
        <f>'Customs Invoice'!D25</f>
        <v>#N/A</v>
      </c>
      <c r="E25" s="48" t="e">
        <f>'Customs Invoice'!E25</f>
        <v>#N/A</v>
      </c>
      <c r="F25" s="48">
        <f>'Customs Invoice'!F25</f>
        <v>0</v>
      </c>
      <c r="G25" s="49">
        <f>'Customs Invoice'!G25</f>
        <v>0</v>
      </c>
      <c r="H25" s="223" t="e">
        <f>'Customs Invoice'!H25</f>
        <v>#N/A</v>
      </c>
      <c r="I25" s="68">
        <f>'Customs Invoice'!I25</f>
        <v>0</v>
      </c>
      <c r="J25" s="95">
        <f>'Customs Invoice'!J25</f>
        <v>0</v>
      </c>
      <c r="K25" s="96" t="e">
        <f t="shared" si="1"/>
        <v>#DIV/0!</v>
      </c>
      <c r="L25" s="103">
        <f>'Customs Invoice'!L25</f>
        <v>0</v>
      </c>
      <c r="M25" s="386"/>
      <c r="N25" s="389"/>
      <c r="O25" s="96"/>
      <c r="P25" s="386"/>
      <c r="Q25" s="58"/>
      <c r="R25" s="365">
        <f t="shared" si="3"/>
        <v>0</v>
      </c>
      <c r="S25" s="365">
        <f t="shared" si="2"/>
        <v>0</v>
      </c>
    </row>
    <row r="26" spans="1:19" s="6" customFormat="1" ht="18" customHeight="1">
      <c r="A26" s="30"/>
      <c r="B26" s="46">
        <v>6</v>
      </c>
      <c r="C26" s="94" t="e">
        <f t="shared" si="0"/>
        <v>#N/A</v>
      </c>
      <c r="D26" s="47" t="e">
        <f>'Customs Invoice'!D26</f>
        <v>#N/A</v>
      </c>
      <c r="E26" s="48" t="e">
        <f>'Customs Invoice'!E26</f>
        <v>#N/A</v>
      </c>
      <c r="F26" s="48">
        <f>'Customs Invoice'!F26</f>
        <v>0</v>
      </c>
      <c r="G26" s="49">
        <f>'Customs Invoice'!G26</f>
        <v>0</v>
      </c>
      <c r="H26" s="223" t="e">
        <f>'Customs Invoice'!H26</f>
        <v>#N/A</v>
      </c>
      <c r="I26" s="68">
        <f>'Customs Invoice'!I26</f>
        <v>0</v>
      </c>
      <c r="J26" s="95">
        <f>'Customs Invoice'!J26</f>
        <v>0</v>
      </c>
      <c r="K26" s="96" t="e">
        <f t="shared" si="1"/>
        <v>#DIV/0!</v>
      </c>
      <c r="L26" s="103">
        <f>'Customs Invoice'!L26</f>
        <v>0</v>
      </c>
      <c r="M26" s="386"/>
      <c r="N26" s="389"/>
      <c r="O26" s="96"/>
      <c r="P26" s="386"/>
      <c r="Q26" s="58"/>
      <c r="R26" s="365">
        <f t="shared" si="3"/>
        <v>0</v>
      </c>
      <c r="S26" s="365">
        <f t="shared" si="2"/>
        <v>0</v>
      </c>
    </row>
    <row r="27" spans="1:19" s="6" customFormat="1" ht="18" customHeight="1">
      <c r="A27" s="30"/>
      <c r="B27" s="46">
        <v>7</v>
      </c>
      <c r="C27" s="94" t="e">
        <f t="shared" si="0"/>
        <v>#N/A</v>
      </c>
      <c r="D27" s="47" t="e">
        <f>'Customs Invoice'!D27</f>
        <v>#N/A</v>
      </c>
      <c r="E27" s="48" t="e">
        <f>'Customs Invoice'!E27</f>
        <v>#N/A</v>
      </c>
      <c r="F27" s="48">
        <f>'Customs Invoice'!F27</f>
        <v>0</v>
      </c>
      <c r="G27" s="49">
        <f>'Customs Invoice'!G27</f>
        <v>0</v>
      </c>
      <c r="H27" s="223" t="e">
        <f>'Customs Invoice'!H27</f>
        <v>#N/A</v>
      </c>
      <c r="I27" s="68">
        <f>'Customs Invoice'!I27</f>
        <v>0</v>
      </c>
      <c r="J27" s="95">
        <f>'Customs Invoice'!J27</f>
        <v>0</v>
      </c>
      <c r="K27" s="96" t="e">
        <f t="shared" si="1"/>
        <v>#DIV/0!</v>
      </c>
      <c r="L27" s="103">
        <f>'Customs Invoice'!L27</f>
        <v>0</v>
      </c>
      <c r="M27" s="386"/>
      <c r="N27" s="389"/>
      <c r="O27" s="96"/>
      <c r="P27" s="386"/>
      <c r="Q27" s="58"/>
      <c r="R27" s="365">
        <f t="shared" si="3"/>
        <v>0</v>
      </c>
      <c r="S27" s="365">
        <f t="shared" si="2"/>
        <v>0</v>
      </c>
    </row>
    <row r="28" spans="1:19" s="6" customFormat="1" ht="18" customHeight="1">
      <c r="A28" s="30"/>
      <c r="B28" s="46">
        <v>8</v>
      </c>
      <c r="C28" s="94" t="e">
        <f t="shared" si="0"/>
        <v>#N/A</v>
      </c>
      <c r="D28" s="47" t="e">
        <f>'Customs Invoice'!D28</f>
        <v>#N/A</v>
      </c>
      <c r="E28" s="48" t="e">
        <f>'Customs Invoice'!E28</f>
        <v>#N/A</v>
      </c>
      <c r="F28" s="48">
        <f>'Customs Invoice'!F28</f>
        <v>0</v>
      </c>
      <c r="G28" s="49">
        <f>'Customs Invoice'!G28</f>
        <v>0</v>
      </c>
      <c r="H28" s="223" t="e">
        <f>'Customs Invoice'!H28</f>
        <v>#N/A</v>
      </c>
      <c r="I28" s="68">
        <f>'Customs Invoice'!I28</f>
        <v>0</v>
      </c>
      <c r="J28" s="95">
        <f>'Customs Invoice'!J28</f>
        <v>0</v>
      </c>
      <c r="K28" s="96" t="e">
        <f t="shared" si="1"/>
        <v>#DIV/0!</v>
      </c>
      <c r="L28" s="103">
        <f>'Customs Invoice'!L28</f>
        <v>0</v>
      </c>
      <c r="M28" s="386"/>
      <c r="N28" s="389"/>
      <c r="O28" s="96"/>
      <c r="P28" s="386"/>
      <c r="Q28" s="58"/>
      <c r="R28" s="365">
        <f t="shared" si="3"/>
        <v>0</v>
      </c>
      <c r="S28" s="365">
        <f t="shared" si="2"/>
        <v>0</v>
      </c>
    </row>
    <row r="29" spans="1:19" s="6" customFormat="1" ht="18" customHeight="1">
      <c r="A29" s="30"/>
      <c r="B29" s="46">
        <v>9</v>
      </c>
      <c r="C29" s="94" t="e">
        <f t="shared" si="0"/>
        <v>#N/A</v>
      </c>
      <c r="D29" s="47" t="e">
        <f>'Customs Invoice'!D29</f>
        <v>#N/A</v>
      </c>
      <c r="E29" s="48" t="e">
        <f>'Customs Invoice'!E29</f>
        <v>#N/A</v>
      </c>
      <c r="F29" s="48">
        <f>'Customs Invoice'!F29</f>
        <v>0</v>
      </c>
      <c r="G29" s="49">
        <f>'Customs Invoice'!G29</f>
        <v>0</v>
      </c>
      <c r="H29" s="223" t="e">
        <f>'Customs Invoice'!H29</f>
        <v>#N/A</v>
      </c>
      <c r="I29" s="68">
        <f>'Customs Invoice'!I29</f>
        <v>0</v>
      </c>
      <c r="J29" s="95">
        <f>'Customs Invoice'!J29</f>
        <v>0</v>
      </c>
      <c r="K29" s="96" t="e">
        <f t="shared" si="1"/>
        <v>#DIV/0!</v>
      </c>
      <c r="L29" s="103">
        <f>'Customs Invoice'!L29</f>
        <v>0</v>
      </c>
      <c r="M29" s="386"/>
      <c r="N29" s="389"/>
      <c r="O29" s="96"/>
      <c r="P29" s="386"/>
      <c r="Q29" s="58"/>
      <c r="R29" s="365">
        <f t="shared" si="3"/>
        <v>0</v>
      </c>
      <c r="S29" s="365">
        <f t="shared" si="2"/>
        <v>0</v>
      </c>
    </row>
    <row r="30" spans="1:19" s="6" customFormat="1" ht="18" customHeight="1">
      <c r="A30" s="30"/>
      <c r="B30" s="46">
        <v>10</v>
      </c>
      <c r="C30" s="94" t="e">
        <f t="shared" si="0"/>
        <v>#N/A</v>
      </c>
      <c r="D30" s="47" t="e">
        <f>'Customs Invoice'!D30</f>
        <v>#N/A</v>
      </c>
      <c r="E30" s="48" t="e">
        <f>'Customs Invoice'!E30</f>
        <v>#N/A</v>
      </c>
      <c r="F30" s="48" t="str">
        <f>'Customs Invoice'!F30</f>
        <v>-</v>
      </c>
      <c r="G30" s="49">
        <f>'Customs Invoice'!G30</f>
        <v>0</v>
      </c>
      <c r="H30" s="223" t="e">
        <f>'Customs Invoice'!H30</f>
        <v>#N/A</v>
      </c>
      <c r="I30" s="68">
        <f>'Customs Invoice'!I30</f>
        <v>0</v>
      </c>
      <c r="J30" s="95">
        <f>'Customs Invoice'!J30</f>
        <v>0</v>
      </c>
      <c r="K30" s="96" t="e">
        <f t="shared" si="1"/>
        <v>#DIV/0!</v>
      </c>
      <c r="L30" s="103">
        <f>'Customs Invoice'!L30</f>
        <v>0</v>
      </c>
      <c r="M30" s="386"/>
      <c r="N30" s="389"/>
      <c r="O30" s="96"/>
      <c r="P30" s="386"/>
      <c r="Q30" s="58"/>
      <c r="R30" s="365">
        <f t="shared" si="3"/>
        <v>0</v>
      </c>
      <c r="S30" s="365">
        <f t="shared" si="2"/>
        <v>0</v>
      </c>
    </row>
    <row r="31" spans="1:19" s="6" customFormat="1" ht="18" customHeight="1">
      <c r="A31" s="30"/>
      <c r="B31" s="46">
        <v>11</v>
      </c>
      <c r="C31" s="94" t="e">
        <f t="shared" si="0"/>
        <v>#N/A</v>
      </c>
      <c r="D31" s="47" t="e">
        <f>'Customs Invoice'!D31</f>
        <v>#N/A</v>
      </c>
      <c r="E31" s="48" t="e">
        <f>'Customs Invoice'!E31</f>
        <v>#N/A</v>
      </c>
      <c r="F31" s="48" t="str">
        <f>'Customs Invoice'!F31</f>
        <v>-</v>
      </c>
      <c r="G31" s="49">
        <f>'Customs Invoice'!G31</f>
        <v>0</v>
      </c>
      <c r="H31" s="223" t="e">
        <f>'Customs Invoice'!H31</f>
        <v>#N/A</v>
      </c>
      <c r="I31" s="68">
        <f>'Customs Invoice'!I31</f>
        <v>0</v>
      </c>
      <c r="J31" s="95">
        <f>'Customs Invoice'!J31</f>
        <v>0</v>
      </c>
      <c r="K31" s="96" t="e">
        <f t="shared" si="1"/>
        <v>#DIV/0!</v>
      </c>
      <c r="L31" s="103">
        <f>'Customs Invoice'!L31</f>
        <v>0</v>
      </c>
      <c r="M31" s="386"/>
      <c r="N31" s="389"/>
      <c r="O31" s="96"/>
      <c r="P31" s="386"/>
      <c r="Q31" s="58"/>
      <c r="R31" s="365">
        <f t="shared" si="3"/>
        <v>0</v>
      </c>
      <c r="S31" s="365">
        <f t="shared" si="2"/>
        <v>0</v>
      </c>
    </row>
    <row r="32" spans="1:19" s="6" customFormat="1" ht="18" customHeight="1">
      <c r="A32" s="30"/>
      <c r="B32" s="46">
        <v>12</v>
      </c>
      <c r="C32" s="94" t="e">
        <f t="shared" si="0"/>
        <v>#N/A</v>
      </c>
      <c r="D32" s="47" t="e">
        <f>'Customs Invoice'!D32</f>
        <v>#N/A</v>
      </c>
      <c r="E32" s="48" t="e">
        <f>'Customs Invoice'!E32</f>
        <v>#N/A</v>
      </c>
      <c r="F32" s="48" t="str">
        <f>'Customs Invoice'!F32</f>
        <v>-</v>
      </c>
      <c r="G32" s="49">
        <f>'Customs Invoice'!G32</f>
        <v>0</v>
      </c>
      <c r="H32" s="223" t="e">
        <f>'Customs Invoice'!H32</f>
        <v>#N/A</v>
      </c>
      <c r="I32" s="68">
        <f>'Customs Invoice'!I32</f>
        <v>0</v>
      </c>
      <c r="J32" s="95">
        <f>'Customs Invoice'!J32</f>
        <v>0</v>
      </c>
      <c r="K32" s="96" t="e">
        <f t="shared" si="1"/>
        <v>#DIV/0!</v>
      </c>
      <c r="L32" s="103">
        <f>'Customs Invoice'!L32</f>
        <v>0</v>
      </c>
      <c r="M32" s="386"/>
      <c r="N32" s="389"/>
      <c r="O32" s="96"/>
      <c r="P32" s="386"/>
      <c r="Q32" s="58"/>
      <c r="R32" s="365">
        <f t="shared" si="3"/>
        <v>0</v>
      </c>
      <c r="S32" s="365">
        <f t="shared" si="2"/>
        <v>0</v>
      </c>
    </row>
    <row r="33" spans="1:19" s="6" customFormat="1" ht="18" customHeight="1">
      <c r="A33" s="30"/>
      <c r="B33" s="46">
        <v>13</v>
      </c>
      <c r="C33" s="94" t="e">
        <f t="shared" si="0"/>
        <v>#N/A</v>
      </c>
      <c r="D33" s="47" t="e">
        <f>'Customs Invoice'!D33</f>
        <v>#N/A</v>
      </c>
      <c r="E33" s="48" t="e">
        <f>'Customs Invoice'!E33</f>
        <v>#N/A</v>
      </c>
      <c r="F33" s="48" t="str">
        <f>'Customs Invoice'!F33</f>
        <v>-</v>
      </c>
      <c r="G33" s="49">
        <f>'Customs Invoice'!G33</f>
        <v>0</v>
      </c>
      <c r="H33" s="223" t="e">
        <f>'Customs Invoice'!H33</f>
        <v>#N/A</v>
      </c>
      <c r="I33" s="68">
        <f>'Customs Invoice'!I33</f>
        <v>0</v>
      </c>
      <c r="J33" s="95">
        <f>'Customs Invoice'!J33</f>
        <v>0</v>
      </c>
      <c r="K33" s="96" t="e">
        <f t="shared" si="1"/>
        <v>#DIV/0!</v>
      </c>
      <c r="L33" s="103">
        <f>'Customs Invoice'!L33</f>
        <v>0</v>
      </c>
      <c r="M33" s="386"/>
      <c r="N33" s="389"/>
      <c r="O33" s="96"/>
      <c r="P33" s="386"/>
      <c r="Q33" s="58"/>
      <c r="R33" s="365">
        <f t="shared" si="3"/>
        <v>0</v>
      </c>
      <c r="S33" s="365">
        <f t="shared" si="2"/>
        <v>0</v>
      </c>
    </row>
    <row r="34" spans="1:19" s="6" customFormat="1" ht="18" customHeight="1">
      <c r="A34" s="30"/>
      <c r="B34" s="46">
        <v>14</v>
      </c>
      <c r="C34" s="94" t="e">
        <f t="shared" si="0"/>
        <v>#N/A</v>
      </c>
      <c r="D34" s="47" t="e">
        <f>'Customs Invoice'!D34</f>
        <v>#N/A</v>
      </c>
      <c r="E34" s="48" t="e">
        <f>'Customs Invoice'!E34</f>
        <v>#N/A</v>
      </c>
      <c r="F34" s="48" t="str">
        <f>'Customs Invoice'!F34</f>
        <v>-</v>
      </c>
      <c r="G34" s="49">
        <f>'Customs Invoice'!G34</f>
        <v>0</v>
      </c>
      <c r="H34" s="223" t="e">
        <f>'Customs Invoice'!H34</f>
        <v>#N/A</v>
      </c>
      <c r="I34" s="68">
        <f>'Customs Invoice'!I34</f>
        <v>0</v>
      </c>
      <c r="J34" s="95">
        <f>'Customs Invoice'!J34</f>
        <v>0</v>
      </c>
      <c r="K34" s="96" t="e">
        <f t="shared" si="1"/>
        <v>#DIV/0!</v>
      </c>
      <c r="L34" s="103">
        <f>'Customs Invoice'!L34</f>
        <v>0</v>
      </c>
      <c r="M34" s="386"/>
      <c r="N34" s="389"/>
      <c r="O34" s="96"/>
      <c r="P34" s="386"/>
      <c r="Q34" s="58"/>
      <c r="R34" s="365">
        <f t="shared" si="3"/>
        <v>0</v>
      </c>
      <c r="S34" s="365">
        <f t="shared" si="2"/>
        <v>0</v>
      </c>
    </row>
    <row r="35" spans="1:19" s="6" customFormat="1" ht="18" customHeight="1">
      <c r="A35" s="30"/>
      <c r="B35" s="46">
        <v>15</v>
      </c>
      <c r="C35" s="94" t="e">
        <f t="shared" si="0"/>
        <v>#N/A</v>
      </c>
      <c r="D35" s="47" t="e">
        <f>'Customs Invoice'!D35</f>
        <v>#N/A</v>
      </c>
      <c r="E35" s="48" t="e">
        <f>'Customs Invoice'!E35</f>
        <v>#N/A</v>
      </c>
      <c r="F35" s="48" t="str">
        <f>'Customs Invoice'!F35</f>
        <v>-</v>
      </c>
      <c r="G35" s="49">
        <f>'Customs Invoice'!G35</f>
        <v>0</v>
      </c>
      <c r="H35" s="223" t="e">
        <f>'Customs Invoice'!H35</f>
        <v>#N/A</v>
      </c>
      <c r="I35" s="68">
        <f>'Customs Invoice'!I35</f>
        <v>0</v>
      </c>
      <c r="J35" s="95">
        <f>'Customs Invoice'!J35</f>
        <v>0</v>
      </c>
      <c r="K35" s="96" t="e">
        <f t="shared" si="1"/>
        <v>#DIV/0!</v>
      </c>
      <c r="L35" s="103">
        <f>'Customs Invoice'!L35</f>
        <v>0</v>
      </c>
      <c r="M35" s="386"/>
      <c r="N35" s="389"/>
      <c r="O35" s="96"/>
      <c r="P35" s="386"/>
      <c r="Q35" s="58"/>
      <c r="R35" s="365">
        <f t="shared" si="3"/>
        <v>0</v>
      </c>
      <c r="S35" s="365">
        <f t="shared" si="2"/>
        <v>0</v>
      </c>
    </row>
    <row r="36" spans="1:19" s="6" customFormat="1" ht="18" customHeight="1">
      <c r="A36" s="30"/>
      <c r="B36" s="46">
        <v>16</v>
      </c>
      <c r="C36" s="94" t="e">
        <f t="shared" si="0"/>
        <v>#N/A</v>
      </c>
      <c r="D36" s="47" t="e">
        <f>'Customs Invoice'!D36</f>
        <v>#N/A</v>
      </c>
      <c r="E36" s="48" t="e">
        <f>'Customs Invoice'!E36</f>
        <v>#N/A</v>
      </c>
      <c r="F36" s="48" t="str">
        <f>'Customs Invoice'!F36</f>
        <v>-</v>
      </c>
      <c r="G36" s="49">
        <f>'Customs Invoice'!G36</f>
        <v>0</v>
      </c>
      <c r="H36" s="223" t="e">
        <f>'Customs Invoice'!H36</f>
        <v>#N/A</v>
      </c>
      <c r="I36" s="68">
        <f>'Customs Invoice'!I36</f>
        <v>0</v>
      </c>
      <c r="J36" s="95">
        <f>'Customs Invoice'!J36</f>
        <v>0</v>
      </c>
      <c r="K36" s="96" t="e">
        <f t="shared" si="1"/>
        <v>#DIV/0!</v>
      </c>
      <c r="L36" s="103">
        <f>'Customs Invoice'!L36</f>
        <v>0</v>
      </c>
      <c r="M36" s="386"/>
      <c r="N36" s="389"/>
      <c r="O36" s="96"/>
      <c r="P36" s="386"/>
      <c r="Q36" s="58"/>
      <c r="R36" s="365">
        <f t="shared" si="3"/>
        <v>0</v>
      </c>
      <c r="S36" s="365">
        <f t="shared" si="2"/>
        <v>0</v>
      </c>
    </row>
    <row r="37" spans="1:19" s="6" customFormat="1" ht="18" customHeight="1">
      <c r="A37" s="30"/>
      <c r="B37" s="46">
        <v>17</v>
      </c>
      <c r="C37" s="94" t="e">
        <f t="shared" si="0"/>
        <v>#N/A</v>
      </c>
      <c r="D37" s="47" t="e">
        <f>'Customs Invoice'!D37</f>
        <v>#N/A</v>
      </c>
      <c r="E37" s="48" t="e">
        <f>'Customs Invoice'!E37</f>
        <v>#N/A</v>
      </c>
      <c r="F37" s="48" t="str">
        <f>'Customs Invoice'!F37</f>
        <v>-</v>
      </c>
      <c r="G37" s="49">
        <f>'Customs Invoice'!G37</f>
        <v>0</v>
      </c>
      <c r="H37" s="223" t="e">
        <f>'Customs Invoice'!H37</f>
        <v>#N/A</v>
      </c>
      <c r="I37" s="68">
        <f>'Customs Invoice'!I37</f>
        <v>0</v>
      </c>
      <c r="J37" s="95">
        <f>'Customs Invoice'!J37</f>
        <v>0</v>
      </c>
      <c r="K37" s="96" t="e">
        <f t="shared" si="1"/>
        <v>#DIV/0!</v>
      </c>
      <c r="L37" s="103">
        <f>'Customs Invoice'!L37</f>
        <v>0</v>
      </c>
      <c r="M37" s="386"/>
      <c r="N37" s="389"/>
      <c r="O37" s="96"/>
      <c r="P37" s="386"/>
      <c r="Q37" s="58"/>
      <c r="R37" s="365">
        <f t="shared" si="3"/>
        <v>0</v>
      </c>
      <c r="S37" s="365">
        <f t="shared" si="2"/>
        <v>0</v>
      </c>
    </row>
    <row r="38" spans="1:19" s="6" customFormat="1" ht="18" customHeight="1">
      <c r="A38" s="30"/>
      <c r="B38" s="46">
        <v>18</v>
      </c>
      <c r="C38" s="94" t="e">
        <f t="shared" si="0"/>
        <v>#N/A</v>
      </c>
      <c r="D38" s="47" t="e">
        <f>'Customs Invoice'!D38</f>
        <v>#N/A</v>
      </c>
      <c r="E38" s="48" t="e">
        <f>'Customs Invoice'!E38</f>
        <v>#N/A</v>
      </c>
      <c r="F38" s="48" t="str">
        <f>'Customs Invoice'!F38</f>
        <v>-</v>
      </c>
      <c r="G38" s="49">
        <f>'Customs Invoice'!G38</f>
        <v>0</v>
      </c>
      <c r="H38" s="223" t="e">
        <f>'Customs Invoice'!H38</f>
        <v>#N/A</v>
      </c>
      <c r="I38" s="68">
        <f>'Customs Invoice'!I38</f>
        <v>0</v>
      </c>
      <c r="J38" s="95">
        <f>'Customs Invoice'!J38</f>
        <v>0</v>
      </c>
      <c r="K38" s="96" t="e">
        <f t="shared" si="1"/>
        <v>#DIV/0!</v>
      </c>
      <c r="L38" s="103">
        <f>'Customs Invoice'!L38</f>
        <v>0</v>
      </c>
      <c r="M38" s="386"/>
      <c r="N38" s="389"/>
      <c r="O38" s="96"/>
      <c r="P38" s="386"/>
      <c r="Q38" s="58"/>
      <c r="R38" s="365">
        <f t="shared" si="3"/>
        <v>0</v>
      </c>
      <c r="S38" s="365">
        <f t="shared" si="2"/>
        <v>0</v>
      </c>
    </row>
    <row r="39" spans="1:19" s="6" customFormat="1" ht="18" customHeight="1">
      <c r="A39" s="30"/>
      <c r="B39" s="46">
        <v>19</v>
      </c>
      <c r="C39" s="94" t="e">
        <f t="shared" si="0"/>
        <v>#N/A</v>
      </c>
      <c r="D39" s="47" t="e">
        <f>'Customs Invoice'!D39</f>
        <v>#N/A</v>
      </c>
      <c r="E39" s="48" t="e">
        <f>'Customs Invoice'!E39</f>
        <v>#N/A</v>
      </c>
      <c r="F39" s="48" t="str">
        <f>'Customs Invoice'!F39</f>
        <v>-</v>
      </c>
      <c r="G39" s="49">
        <f>'Customs Invoice'!G39</f>
        <v>0</v>
      </c>
      <c r="H39" s="223" t="e">
        <f>'Customs Invoice'!H39</f>
        <v>#N/A</v>
      </c>
      <c r="I39" s="68">
        <f>'Customs Invoice'!I39</f>
        <v>0</v>
      </c>
      <c r="J39" s="95">
        <f>'Customs Invoice'!J39</f>
        <v>0</v>
      </c>
      <c r="K39" s="96" t="e">
        <f t="shared" si="1"/>
        <v>#DIV/0!</v>
      </c>
      <c r="L39" s="103">
        <f>'Customs Invoice'!L39</f>
        <v>0</v>
      </c>
      <c r="M39" s="386"/>
      <c r="N39" s="389"/>
      <c r="O39" s="96"/>
      <c r="P39" s="386"/>
      <c r="Q39" s="58"/>
      <c r="R39" s="365">
        <f t="shared" si="3"/>
        <v>0</v>
      </c>
      <c r="S39" s="365">
        <f t="shared" si="2"/>
        <v>0</v>
      </c>
    </row>
    <row r="40" spans="1:19" s="6" customFormat="1" ht="18" customHeight="1">
      <c r="A40" s="30"/>
      <c r="B40" s="46">
        <v>20</v>
      </c>
      <c r="C40" s="94" t="e">
        <f t="shared" si="0"/>
        <v>#N/A</v>
      </c>
      <c r="D40" s="47" t="e">
        <f>'Customs Invoice'!D40</f>
        <v>#N/A</v>
      </c>
      <c r="E40" s="48" t="e">
        <f>'Customs Invoice'!E40</f>
        <v>#N/A</v>
      </c>
      <c r="F40" s="48" t="str">
        <f>'Customs Invoice'!F40</f>
        <v>-</v>
      </c>
      <c r="G40" s="49">
        <f>'Customs Invoice'!G40</f>
        <v>0</v>
      </c>
      <c r="H40" s="223" t="e">
        <f>'Customs Invoice'!H40</f>
        <v>#N/A</v>
      </c>
      <c r="I40" s="68">
        <f>'Customs Invoice'!I40</f>
        <v>0</v>
      </c>
      <c r="J40" s="95">
        <f>'Customs Invoice'!J40</f>
        <v>0</v>
      </c>
      <c r="K40" s="96" t="e">
        <f t="shared" si="1"/>
        <v>#DIV/0!</v>
      </c>
      <c r="L40" s="103">
        <f>'Customs Invoice'!L40</f>
        <v>0</v>
      </c>
      <c r="M40" s="386"/>
      <c r="N40" s="389"/>
      <c r="O40" s="96"/>
      <c r="P40" s="386"/>
      <c r="Q40" s="58"/>
      <c r="R40" s="365">
        <f>L40</f>
        <v>0</v>
      </c>
      <c r="S40" s="365">
        <f>I40</f>
        <v>0</v>
      </c>
    </row>
    <row r="41" spans="1:19" s="6" customFormat="1" ht="22.5" customHeight="1" thickBot="1">
      <c r="A41" s="30"/>
      <c r="B41" s="51"/>
      <c r="C41" s="99"/>
      <c r="D41" s="52"/>
      <c r="E41" s="53" t="s">
        <v>38</v>
      </c>
      <c r="F41" s="53"/>
      <c r="G41" s="423">
        <f>SUM(G21:G40)</f>
        <v>0</v>
      </c>
      <c r="H41" s="424"/>
      <c r="I41" s="71">
        <f>SUM(I21:I40)</f>
        <v>0</v>
      </c>
      <c r="J41" s="72" t="e">
        <f>SUM(J21:J40)</f>
        <v>#DIV/0!</v>
      </c>
      <c r="K41" s="71"/>
      <c r="L41" s="101">
        <f>SUM(L21:L40)</f>
        <v>0</v>
      </c>
      <c r="M41" s="387">
        <f>SUM(M21:M40)</f>
        <v>0</v>
      </c>
      <c r="N41" s="390">
        <f>SUM(N21:N40)</f>
        <v>0</v>
      </c>
      <c r="O41" s="100">
        <f>SUM(O21:O40)</f>
        <v>0</v>
      </c>
      <c r="P41" s="387">
        <f>SUM(P21:P40)</f>
        <v>0</v>
      </c>
      <c r="Q41" s="58"/>
    </row>
    <row r="42" spans="1:19" s="6" customFormat="1" ht="15" hidden="1" customHeight="1">
      <c r="A42" s="39"/>
      <c r="B42" s="21"/>
      <c r="C42" s="397"/>
      <c r="D42" s="21"/>
      <c r="E42" s="21"/>
      <c r="F42" s="21"/>
      <c r="G42" s="21"/>
      <c r="H42" s="24"/>
      <c r="I42" s="30"/>
      <c r="J42" s="21"/>
      <c r="K42" s="30"/>
      <c r="L42" s="30"/>
      <c r="M42" s="21"/>
      <c r="N42" s="21"/>
      <c r="O42" s="21"/>
      <c r="P42" s="58"/>
      <c r="Q42" s="58"/>
    </row>
    <row r="43" spans="1:19" s="6" customFormat="1" ht="25.5" hidden="1" customHeight="1" thickBot="1">
      <c r="A43" s="30"/>
      <c r="B43" s="40" t="s">
        <v>39</v>
      </c>
      <c r="C43" s="397"/>
      <c r="D43" s="41"/>
      <c r="E43" s="21"/>
      <c r="F43" s="21"/>
      <c r="G43" s="21"/>
      <c r="H43" s="21"/>
      <c r="I43" s="63"/>
      <c r="J43" s="393"/>
      <c r="K43" s="64"/>
      <c r="L43" s="64"/>
      <c r="M43" s="65"/>
      <c r="N43" s="65"/>
      <c r="O43" s="65"/>
      <c r="P43" s="66"/>
      <c r="Q43" s="58"/>
    </row>
    <row r="44" spans="1:19" s="6" customFormat="1" ht="39" hidden="1" customHeight="1">
      <c r="A44" s="42"/>
      <c r="B44" s="43" t="s">
        <v>27</v>
      </c>
      <c r="C44" s="44" t="s">
        <v>28</v>
      </c>
      <c r="D44" s="44" t="s">
        <v>29</v>
      </c>
      <c r="E44" s="394" t="s">
        <v>30</v>
      </c>
      <c r="F44" s="394" t="s">
        <v>31</v>
      </c>
      <c r="G44" s="414" t="s">
        <v>32</v>
      </c>
      <c r="H44" s="414"/>
      <c r="I44" s="394" t="s">
        <v>33</v>
      </c>
      <c r="J44" s="67" t="s">
        <v>34</v>
      </c>
      <c r="K44" s="92" t="s">
        <v>35</v>
      </c>
      <c r="L44" s="92" t="s">
        <v>40</v>
      </c>
      <c r="M44" s="93" t="s">
        <v>37</v>
      </c>
      <c r="N44" s="93"/>
      <c r="O44" s="93"/>
      <c r="P44" s="93" t="s">
        <v>120</v>
      </c>
      <c r="Q44" s="58"/>
    </row>
    <row r="45" spans="1:19" s="6" customFormat="1" ht="18" hidden="1" customHeight="1">
      <c r="A45" s="30"/>
      <c r="B45" s="46"/>
      <c r="C45" s="94" t="e">
        <f>CONCATENATE("MFGG","-",MID(E45,1,3),MID(E45,10,1),"-","IDD")</f>
        <v>#N/A</v>
      </c>
      <c r="D45" s="47" t="e">
        <f>VLOOKUP(F45,Sheet2!$A$2:$D$31,4,0)</f>
        <v>#N/A</v>
      </c>
      <c r="E45" s="48" t="e">
        <f>VLOOKUP(F45,Sheet2!$A$2:$D$31,2,0)</f>
        <v>#N/A</v>
      </c>
      <c r="F45" s="48"/>
      <c r="G45" s="49"/>
      <c r="H45" s="50" t="e">
        <f>VLOOKUP(F45,Sheet2!$A$2:$D$31,3,0)</f>
        <v>#N/A</v>
      </c>
      <c r="I45" s="68"/>
      <c r="J45" s="95"/>
      <c r="K45" s="96" t="e">
        <f t="shared" ref="K45:K64" si="4">L45/G45</f>
        <v>#DIV/0!</v>
      </c>
      <c r="L45" s="97"/>
      <c r="M45" s="70"/>
      <c r="N45" s="70"/>
      <c r="O45" s="70"/>
      <c r="P45" s="70"/>
      <c r="Q45" s="58"/>
    </row>
    <row r="46" spans="1:19" s="6" customFormat="1" ht="18" hidden="1" customHeight="1">
      <c r="A46" s="30"/>
      <c r="B46" s="46"/>
      <c r="C46" s="94" t="e">
        <f t="shared" ref="C46:C64" si="5">CONCATENATE("MFGG","-",MID(E46,1,3),MID(E46,10,1),"-","IDD")</f>
        <v>#N/A</v>
      </c>
      <c r="D46" s="47" t="e">
        <f>VLOOKUP(F46,Sheet2!$A$2:$D$31,4,0)</f>
        <v>#N/A</v>
      </c>
      <c r="E46" s="48" t="e">
        <f>VLOOKUP(F46,Sheet2!$A$2:$D$31,2,0)</f>
        <v>#N/A</v>
      </c>
      <c r="F46" s="48"/>
      <c r="G46" s="49"/>
      <c r="H46" s="50" t="e">
        <f>VLOOKUP(F46,Sheet2!$A$2:$D$31,3,0)</f>
        <v>#N/A</v>
      </c>
      <c r="I46" s="68"/>
      <c r="J46" s="95"/>
      <c r="K46" s="96" t="e">
        <f t="shared" si="4"/>
        <v>#DIV/0!</v>
      </c>
      <c r="L46" s="97"/>
      <c r="M46" s="70"/>
      <c r="N46" s="70"/>
      <c r="O46" s="70"/>
      <c r="P46" s="70"/>
      <c r="Q46" s="58"/>
    </row>
    <row r="47" spans="1:19" s="6" customFormat="1" ht="18" hidden="1" customHeight="1">
      <c r="A47" s="30"/>
      <c r="B47" s="46"/>
      <c r="C47" s="94" t="e">
        <f t="shared" si="5"/>
        <v>#N/A</v>
      </c>
      <c r="D47" s="47" t="e">
        <f>VLOOKUP(F47,Sheet2!$A$2:$D$31,4,0)</f>
        <v>#N/A</v>
      </c>
      <c r="E47" s="48" t="e">
        <f>VLOOKUP(F47,Sheet2!$A$2:$D$31,2,0)</f>
        <v>#N/A</v>
      </c>
      <c r="F47" s="48"/>
      <c r="G47" s="49"/>
      <c r="H47" s="50" t="e">
        <f>VLOOKUP(F47,Sheet2!$A$2:$D$31,3,0)</f>
        <v>#N/A</v>
      </c>
      <c r="I47" s="68"/>
      <c r="J47" s="69"/>
      <c r="K47" s="96" t="e">
        <f t="shared" si="4"/>
        <v>#DIV/0!</v>
      </c>
      <c r="L47" s="98"/>
      <c r="M47" s="70"/>
      <c r="N47" s="70"/>
      <c r="O47" s="70"/>
      <c r="P47" s="70"/>
      <c r="Q47" s="58"/>
    </row>
    <row r="48" spans="1:19" s="6" customFormat="1" ht="18" hidden="1" customHeight="1">
      <c r="A48" s="30"/>
      <c r="B48" s="46"/>
      <c r="C48" s="94" t="e">
        <f t="shared" si="5"/>
        <v>#N/A</v>
      </c>
      <c r="D48" s="47" t="e">
        <f>VLOOKUP(F48,Sheet2!$A$2:$D$31,4,0)</f>
        <v>#N/A</v>
      </c>
      <c r="E48" s="48" t="e">
        <f>VLOOKUP(F48,Sheet2!$A$2:$D$31,2,0)</f>
        <v>#N/A</v>
      </c>
      <c r="F48" s="48"/>
      <c r="G48" s="49"/>
      <c r="H48" s="50" t="e">
        <f>VLOOKUP(F48,Sheet2!$A$2:$D$31,3,0)</f>
        <v>#N/A</v>
      </c>
      <c r="I48" s="68"/>
      <c r="J48" s="95"/>
      <c r="K48" s="96" t="e">
        <f t="shared" si="4"/>
        <v>#DIV/0!</v>
      </c>
      <c r="L48" s="97"/>
      <c r="M48" s="70"/>
      <c r="N48" s="70"/>
      <c r="O48" s="70"/>
      <c r="P48" s="70"/>
      <c r="Q48" s="58"/>
    </row>
    <row r="49" spans="1:17" s="6" customFormat="1" ht="18" hidden="1" customHeight="1">
      <c r="A49" s="30"/>
      <c r="B49" s="46"/>
      <c r="C49" s="94" t="e">
        <f t="shared" si="5"/>
        <v>#N/A</v>
      </c>
      <c r="D49" s="47" t="e">
        <f>VLOOKUP(F49,Sheet2!$A$2:$D$31,4,0)</f>
        <v>#N/A</v>
      </c>
      <c r="E49" s="48" t="e">
        <f>VLOOKUP(F49,Sheet2!$A$2:$D$31,2,0)</f>
        <v>#N/A</v>
      </c>
      <c r="F49" s="48"/>
      <c r="G49" s="49"/>
      <c r="H49" s="50" t="e">
        <f>VLOOKUP(F49,Sheet2!$A$2:$D$31,3,0)</f>
        <v>#N/A</v>
      </c>
      <c r="I49" s="68"/>
      <c r="J49" s="95"/>
      <c r="K49" s="96" t="e">
        <f t="shared" si="4"/>
        <v>#DIV/0!</v>
      </c>
      <c r="L49" s="97"/>
      <c r="M49" s="70"/>
      <c r="N49" s="70"/>
      <c r="O49" s="70"/>
      <c r="P49" s="70"/>
      <c r="Q49" s="58"/>
    </row>
    <row r="50" spans="1:17" s="6" customFormat="1" ht="18" hidden="1" customHeight="1">
      <c r="A50" s="30"/>
      <c r="B50" s="46"/>
      <c r="C50" s="94" t="e">
        <f t="shared" si="5"/>
        <v>#N/A</v>
      </c>
      <c r="D50" s="47" t="e">
        <f>VLOOKUP(F50,Sheet2!$A$2:$D$31,4,0)</f>
        <v>#N/A</v>
      </c>
      <c r="E50" s="48" t="e">
        <f>VLOOKUP(F50,Sheet2!$A$2:$D$31,2,0)</f>
        <v>#N/A</v>
      </c>
      <c r="F50" s="48"/>
      <c r="G50" s="49"/>
      <c r="H50" s="50" t="e">
        <f>VLOOKUP(F50,Sheet2!$A$2:$D$31,3,0)</f>
        <v>#N/A</v>
      </c>
      <c r="I50" s="68"/>
      <c r="J50" s="95"/>
      <c r="K50" s="96" t="e">
        <f t="shared" si="4"/>
        <v>#DIV/0!</v>
      </c>
      <c r="L50" s="97"/>
      <c r="M50" s="70"/>
      <c r="N50" s="70"/>
      <c r="O50" s="70"/>
      <c r="P50" s="70"/>
      <c r="Q50" s="58"/>
    </row>
    <row r="51" spans="1:17" s="6" customFormat="1" ht="18" hidden="1" customHeight="1">
      <c r="A51" s="30"/>
      <c r="B51" s="46"/>
      <c r="C51" s="94" t="e">
        <f t="shared" si="5"/>
        <v>#N/A</v>
      </c>
      <c r="D51" s="47" t="e">
        <f>VLOOKUP(F51,Sheet2!$A$2:$D$31,4,0)</f>
        <v>#N/A</v>
      </c>
      <c r="E51" s="48" t="e">
        <f>VLOOKUP(F51,Sheet2!$A$2:$D$31,2,0)</f>
        <v>#N/A</v>
      </c>
      <c r="F51" s="48"/>
      <c r="G51" s="49"/>
      <c r="H51" s="50" t="e">
        <f>VLOOKUP(F51,Sheet2!$A$2:$D$31,3,0)</f>
        <v>#N/A</v>
      </c>
      <c r="I51" s="68"/>
      <c r="J51" s="69"/>
      <c r="K51" s="96" t="e">
        <f t="shared" si="4"/>
        <v>#DIV/0!</v>
      </c>
      <c r="L51" s="98"/>
      <c r="M51" s="70"/>
      <c r="N51" s="70"/>
      <c r="O51" s="70"/>
      <c r="P51" s="70"/>
      <c r="Q51" s="58"/>
    </row>
    <row r="52" spans="1:17" s="6" customFormat="1" ht="18" hidden="1" customHeight="1">
      <c r="A52" s="30"/>
      <c r="B52" s="46"/>
      <c r="C52" s="94" t="e">
        <f t="shared" si="5"/>
        <v>#N/A</v>
      </c>
      <c r="D52" s="47" t="e">
        <f>VLOOKUP(F52,Sheet2!$A$2:$D$31,4,0)</f>
        <v>#N/A</v>
      </c>
      <c r="E52" s="48" t="e">
        <f>VLOOKUP(F52,Sheet2!$A$2:$D$31,2,0)</f>
        <v>#N/A</v>
      </c>
      <c r="F52" s="48"/>
      <c r="G52" s="49"/>
      <c r="H52" s="50" t="e">
        <f>VLOOKUP(F52,Sheet2!$A$2:$D$31,3,0)</f>
        <v>#N/A</v>
      </c>
      <c r="I52" s="68"/>
      <c r="J52" s="69"/>
      <c r="K52" s="96" t="e">
        <f t="shared" si="4"/>
        <v>#DIV/0!</v>
      </c>
      <c r="L52" s="98"/>
      <c r="M52" s="70"/>
      <c r="N52" s="70"/>
      <c r="O52" s="70"/>
      <c r="P52" s="70"/>
      <c r="Q52" s="58"/>
    </row>
    <row r="53" spans="1:17" s="6" customFormat="1" ht="18" hidden="1" customHeight="1">
      <c r="A53" s="30"/>
      <c r="B53" s="46"/>
      <c r="C53" s="94" t="e">
        <f t="shared" si="5"/>
        <v>#N/A</v>
      </c>
      <c r="D53" s="47" t="e">
        <f>VLOOKUP(F53,Sheet2!$A$2:$D$31,4,0)</f>
        <v>#N/A</v>
      </c>
      <c r="E53" s="48" t="e">
        <f>VLOOKUP(F53,Sheet2!$A$2:$D$31,2,0)</f>
        <v>#N/A</v>
      </c>
      <c r="F53" s="48"/>
      <c r="G53" s="49"/>
      <c r="H53" s="50" t="e">
        <f>VLOOKUP(F53,Sheet2!$A$2:$D$31,3,0)</f>
        <v>#N/A</v>
      </c>
      <c r="I53" s="68"/>
      <c r="J53" s="69"/>
      <c r="K53" s="96" t="e">
        <f t="shared" si="4"/>
        <v>#DIV/0!</v>
      </c>
      <c r="L53" s="98"/>
      <c r="M53" s="70"/>
      <c r="N53" s="70"/>
      <c r="O53" s="70"/>
      <c r="P53" s="70"/>
      <c r="Q53" s="58"/>
    </row>
    <row r="54" spans="1:17" s="6" customFormat="1" ht="18" hidden="1" customHeight="1">
      <c r="A54" s="30"/>
      <c r="B54" s="46"/>
      <c r="C54" s="94" t="e">
        <f t="shared" si="5"/>
        <v>#N/A</v>
      </c>
      <c r="D54" s="47" t="e">
        <f>VLOOKUP(F54,Sheet2!$A$2:$D$31,4,0)</f>
        <v>#N/A</v>
      </c>
      <c r="E54" s="48" t="e">
        <f>VLOOKUP(F54,Sheet2!$A$2:$D$31,2,0)</f>
        <v>#N/A</v>
      </c>
      <c r="F54" s="48"/>
      <c r="G54" s="49"/>
      <c r="H54" s="50" t="e">
        <f>VLOOKUP(F54,Sheet2!$A$2:$D$31,3,0)</f>
        <v>#N/A</v>
      </c>
      <c r="I54" s="68"/>
      <c r="J54" s="69"/>
      <c r="K54" s="96" t="e">
        <f t="shared" si="4"/>
        <v>#DIV/0!</v>
      </c>
      <c r="L54" s="98"/>
      <c r="M54" s="70"/>
      <c r="N54" s="70"/>
      <c r="O54" s="70"/>
      <c r="P54" s="70"/>
      <c r="Q54" s="58"/>
    </row>
    <row r="55" spans="1:17" s="6" customFormat="1" ht="18" hidden="1" customHeight="1">
      <c r="A55" s="30"/>
      <c r="B55" s="46"/>
      <c r="C55" s="94" t="e">
        <f t="shared" si="5"/>
        <v>#N/A</v>
      </c>
      <c r="D55" s="47" t="e">
        <f>VLOOKUP(F55,Sheet2!$A$2:$D$31,4,0)</f>
        <v>#N/A</v>
      </c>
      <c r="E55" s="48" t="e">
        <f>VLOOKUP(F55,Sheet2!$A$2:$D$31,2,0)</f>
        <v>#N/A</v>
      </c>
      <c r="F55" s="48"/>
      <c r="G55" s="49"/>
      <c r="H55" s="50" t="e">
        <f>VLOOKUP(F55,Sheet2!$A$2:$D$31,3,0)</f>
        <v>#N/A</v>
      </c>
      <c r="I55" s="68"/>
      <c r="J55" s="69"/>
      <c r="K55" s="96" t="e">
        <f t="shared" si="4"/>
        <v>#DIV/0!</v>
      </c>
      <c r="L55" s="98"/>
      <c r="M55" s="70"/>
      <c r="N55" s="70"/>
      <c r="O55" s="70"/>
      <c r="P55" s="70"/>
      <c r="Q55" s="58"/>
    </row>
    <row r="56" spans="1:17" s="6" customFormat="1" ht="18" hidden="1" customHeight="1">
      <c r="A56" s="30"/>
      <c r="B56" s="46"/>
      <c r="C56" s="94" t="e">
        <f t="shared" si="5"/>
        <v>#N/A</v>
      </c>
      <c r="D56" s="47" t="e">
        <f>VLOOKUP(F56,Sheet2!$A$2:$D$31,4,0)</f>
        <v>#N/A</v>
      </c>
      <c r="E56" s="48" t="e">
        <f>VLOOKUP(F56,Sheet2!$A$2:$D$31,2,0)</f>
        <v>#N/A</v>
      </c>
      <c r="F56" s="48"/>
      <c r="G56" s="49"/>
      <c r="H56" s="50" t="e">
        <f>VLOOKUP(F56,Sheet2!$A$2:$D$31,3,0)</f>
        <v>#N/A</v>
      </c>
      <c r="I56" s="68"/>
      <c r="J56" s="69"/>
      <c r="K56" s="96" t="e">
        <f t="shared" si="4"/>
        <v>#DIV/0!</v>
      </c>
      <c r="L56" s="98"/>
      <c r="M56" s="70"/>
      <c r="N56" s="70"/>
      <c r="O56" s="70"/>
      <c r="P56" s="70"/>
      <c r="Q56" s="58"/>
    </row>
    <row r="57" spans="1:17" s="6" customFormat="1" ht="18" hidden="1" customHeight="1">
      <c r="A57" s="30"/>
      <c r="B57" s="46"/>
      <c r="C57" s="94" t="e">
        <f t="shared" si="5"/>
        <v>#N/A</v>
      </c>
      <c r="D57" s="47" t="e">
        <f>VLOOKUP(F57,Sheet2!$A$2:$D$31,4,0)</f>
        <v>#N/A</v>
      </c>
      <c r="E57" s="48" t="e">
        <f>VLOOKUP(F57,Sheet2!$A$2:$D$31,2,0)</f>
        <v>#N/A</v>
      </c>
      <c r="F57" s="48"/>
      <c r="G57" s="49"/>
      <c r="H57" s="50" t="e">
        <f>VLOOKUP(F57,Sheet2!$A$2:$D$31,3,0)</f>
        <v>#N/A</v>
      </c>
      <c r="I57" s="68"/>
      <c r="J57" s="69"/>
      <c r="K57" s="96" t="e">
        <f t="shared" si="4"/>
        <v>#DIV/0!</v>
      </c>
      <c r="L57" s="98"/>
      <c r="M57" s="70"/>
      <c r="N57" s="70"/>
      <c r="O57" s="70"/>
      <c r="P57" s="70"/>
      <c r="Q57" s="58"/>
    </row>
    <row r="58" spans="1:17" s="6" customFormat="1" ht="18" hidden="1" customHeight="1">
      <c r="A58" s="30"/>
      <c r="B58" s="46"/>
      <c r="C58" s="94" t="e">
        <f t="shared" si="5"/>
        <v>#N/A</v>
      </c>
      <c r="D58" s="47" t="e">
        <f>VLOOKUP(F58,Sheet2!$A$2:$D$31,4,0)</f>
        <v>#N/A</v>
      </c>
      <c r="E58" s="48" t="e">
        <f>VLOOKUP(F58,Sheet2!$A$2:$D$31,2,0)</f>
        <v>#N/A</v>
      </c>
      <c r="F58" s="48"/>
      <c r="G58" s="49"/>
      <c r="H58" s="50" t="e">
        <f>VLOOKUP(F58,Sheet2!$A$2:$D$31,3,0)</f>
        <v>#N/A</v>
      </c>
      <c r="I58" s="68"/>
      <c r="J58" s="95"/>
      <c r="K58" s="96" t="e">
        <f t="shared" si="4"/>
        <v>#DIV/0!</v>
      </c>
      <c r="L58" s="97"/>
      <c r="M58" s="70"/>
      <c r="N58" s="70"/>
      <c r="O58" s="70"/>
      <c r="P58" s="70"/>
      <c r="Q58" s="58"/>
    </row>
    <row r="59" spans="1:17" s="6" customFormat="1" ht="18" hidden="1" customHeight="1">
      <c r="A59" s="30"/>
      <c r="B59" s="46"/>
      <c r="C59" s="94" t="e">
        <f t="shared" si="5"/>
        <v>#N/A</v>
      </c>
      <c r="D59" s="47" t="e">
        <f>VLOOKUP(F59,Sheet2!$A$2:$D$31,4,0)</f>
        <v>#N/A</v>
      </c>
      <c r="E59" s="48" t="e">
        <f>VLOOKUP(F59,Sheet2!$A$2:$D$31,2,0)</f>
        <v>#N/A</v>
      </c>
      <c r="F59" s="48"/>
      <c r="G59" s="49"/>
      <c r="H59" s="50" t="e">
        <f>VLOOKUP(F59,Sheet2!$A$2:$D$31,3,0)</f>
        <v>#N/A</v>
      </c>
      <c r="I59" s="68"/>
      <c r="J59" s="95"/>
      <c r="K59" s="96" t="e">
        <f t="shared" si="4"/>
        <v>#DIV/0!</v>
      </c>
      <c r="L59" s="97"/>
      <c r="M59" s="70"/>
      <c r="N59" s="70"/>
      <c r="O59" s="70"/>
      <c r="P59" s="70"/>
      <c r="Q59" s="58"/>
    </row>
    <row r="60" spans="1:17" s="6" customFormat="1" ht="18" hidden="1" customHeight="1">
      <c r="A60" s="30"/>
      <c r="B60" s="46"/>
      <c r="C60" s="94" t="e">
        <f t="shared" si="5"/>
        <v>#N/A</v>
      </c>
      <c r="D60" s="47" t="e">
        <f>VLOOKUP(F60,Sheet2!$A$2:$D$31,4,0)</f>
        <v>#N/A</v>
      </c>
      <c r="E60" s="48" t="e">
        <f>VLOOKUP(F60,Sheet2!$A$2:$D$31,2,0)</f>
        <v>#N/A</v>
      </c>
      <c r="F60" s="48"/>
      <c r="G60" s="49"/>
      <c r="H60" s="50" t="e">
        <f>VLOOKUP(F60,Sheet2!$A$2:$D$31,3,0)</f>
        <v>#N/A</v>
      </c>
      <c r="I60" s="68"/>
      <c r="J60" s="95"/>
      <c r="K60" s="96" t="e">
        <f t="shared" si="4"/>
        <v>#DIV/0!</v>
      </c>
      <c r="L60" s="97"/>
      <c r="M60" s="70"/>
      <c r="N60" s="70"/>
      <c r="O60" s="70"/>
      <c r="P60" s="70"/>
      <c r="Q60" s="58"/>
    </row>
    <row r="61" spans="1:17" s="6" customFormat="1" ht="18" hidden="1" customHeight="1">
      <c r="A61" s="30"/>
      <c r="B61" s="46"/>
      <c r="C61" s="94" t="e">
        <f t="shared" si="5"/>
        <v>#N/A</v>
      </c>
      <c r="D61" s="47" t="e">
        <f>VLOOKUP(F61,Sheet2!$A$2:$D$31,4,0)</f>
        <v>#N/A</v>
      </c>
      <c r="E61" s="48" t="e">
        <f>VLOOKUP(F61,Sheet2!$A$2:$D$31,2,0)</f>
        <v>#N/A</v>
      </c>
      <c r="F61" s="48"/>
      <c r="G61" s="49"/>
      <c r="H61" s="50" t="e">
        <f>VLOOKUP(F61,Sheet2!$A$2:$D$31,3,0)</f>
        <v>#N/A</v>
      </c>
      <c r="I61" s="68"/>
      <c r="J61" s="95"/>
      <c r="K61" s="96" t="e">
        <f t="shared" si="4"/>
        <v>#DIV/0!</v>
      </c>
      <c r="L61" s="97"/>
      <c r="M61" s="70"/>
      <c r="N61" s="70"/>
      <c r="O61" s="70"/>
      <c r="P61" s="70"/>
      <c r="Q61" s="58"/>
    </row>
    <row r="62" spans="1:17" s="6" customFormat="1" ht="18" hidden="1" customHeight="1">
      <c r="A62" s="30"/>
      <c r="B62" s="46"/>
      <c r="C62" s="94" t="e">
        <f t="shared" si="5"/>
        <v>#N/A</v>
      </c>
      <c r="D62" s="47" t="e">
        <f>VLOOKUP(F62,Sheet2!$A$2:$D$31,4,0)</f>
        <v>#N/A</v>
      </c>
      <c r="E62" s="48" t="e">
        <f>VLOOKUP(F62,Sheet2!$A$2:$D$31,2,0)</f>
        <v>#N/A</v>
      </c>
      <c r="F62" s="48"/>
      <c r="G62" s="49"/>
      <c r="H62" s="50" t="e">
        <f>VLOOKUP(F62,Sheet2!$A$2:$D$31,3,0)</f>
        <v>#N/A</v>
      </c>
      <c r="I62" s="68"/>
      <c r="J62" s="69"/>
      <c r="K62" s="96" t="e">
        <f t="shared" si="4"/>
        <v>#DIV/0!</v>
      </c>
      <c r="L62" s="98"/>
      <c r="M62" s="70"/>
      <c r="N62" s="70"/>
      <c r="O62" s="70"/>
      <c r="P62" s="70"/>
      <c r="Q62" s="58"/>
    </row>
    <row r="63" spans="1:17" s="6" customFormat="1" ht="18" hidden="1" customHeight="1">
      <c r="A63" s="30"/>
      <c r="B63" s="46"/>
      <c r="C63" s="94" t="e">
        <f t="shared" si="5"/>
        <v>#N/A</v>
      </c>
      <c r="D63" s="47" t="e">
        <f>VLOOKUP(F63,Sheet2!$A$2:$D$31,4,0)</f>
        <v>#N/A</v>
      </c>
      <c r="E63" s="48" t="e">
        <f>VLOOKUP(F63,Sheet2!$A$2:$D$31,2,0)</f>
        <v>#N/A</v>
      </c>
      <c r="F63" s="48"/>
      <c r="G63" s="49"/>
      <c r="H63" s="50" t="e">
        <f>VLOOKUP(F63,Sheet2!$A$2:$D$31,3,0)</f>
        <v>#N/A</v>
      </c>
      <c r="I63" s="68"/>
      <c r="J63" s="95"/>
      <c r="K63" s="96" t="e">
        <f t="shared" si="4"/>
        <v>#DIV/0!</v>
      </c>
      <c r="L63" s="96"/>
      <c r="M63" s="103"/>
      <c r="N63" s="103"/>
      <c r="O63" s="103"/>
      <c r="P63" s="70"/>
      <c r="Q63" s="58"/>
    </row>
    <row r="64" spans="1:17" s="6" customFormat="1" ht="18" hidden="1" customHeight="1">
      <c r="A64" s="30"/>
      <c r="B64" s="46"/>
      <c r="C64" s="94" t="e">
        <f t="shared" si="5"/>
        <v>#N/A</v>
      </c>
      <c r="D64" s="47" t="e">
        <f>VLOOKUP(F64,Sheet2!$A$2:$D$31,4,0)</f>
        <v>#N/A</v>
      </c>
      <c r="E64" s="48" t="e">
        <f>VLOOKUP(F64,Sheet2!$A$2:$D$31,2,0)</f>
        <v>#N/A</v>
      </c>
      <c r="F64" s="48"/>
      <c r="G64" s="49"/>
      <c r="H64" s="50" t="e">
        <f>VLOOKUP(F64,Sheet2!$A$2:$D$31,3,0)</f>
        <v>#N/A</v>
      </c>
      <c r="I64" s="68"/>
      <c r="J64" s="95"/>
      <c r="K64" s="96" t="e">
        <f t="shared" si="4"/>
        <v>#DIV/0!</v>
      </c>
      <c r="L64" s="96"/>
      <c r="M64" s="103"/>
      <c r="N64" s="103"/>
      <c r="O64" s="103"/>
      <c r="P64" s="70"/>
      <c r="Q64" s="58"/>
    </row>
    <row r="65" spans="1:17" s="6" customFormat="1" ht="22.5" hidden="1" customHeight="1" thickBot="1">
      <c r="A65" s="30"/>
      <c r="B65" s="51"/>
      <c r="C65" s="99"/>
      <c r="D65" s="52"/>
      <c r="E65" s="53" t="s">
        <v>38</v>
      </c>
      <c r="F65" s="53"/>
      <c r="G65" s="54">
        <f>SUM(G45:G64)</f>
        <v>0</v>
      </c>
      <c r="H65" s="55"/>
      <c r="I65" s="71">
        <f>SUM(I45:I64)</f>
        <v>0</v>
      </c>
      <c r="J65" s="72">
        <f>SUM(J45:J64)</f>
        <v>0</v>
      </c>
      <c r="K65" s="71"/>
      <c r="L65" s="100">
        <f>SUM(L45:L64)</f>
        <v>0</v>
      </c>
      <c r="M65" s="101">
        <f>SUM(M45:M64)</f>
        <v>0</v>
      </c>
      <c r="N65" s="101"/>
      <c r="O65" s="101"/>
      <c r="P65" s="101">
        <f>SUM(P45:P64)</f>
        <v>0</v>
      </c>
      <c r="Q65" s="58"/>
    </row>
    <row r="66" spans="1:17" s="6" customFormat="1" ht="15" hidden="1" customHeight="1">
      <c r="A66" s="39"/>
      <c r="B66" s="21"/>
      <c r="C66" s="397"/>
      <c r="D66" s="21"/>
      <c r="E66" s="21"/>
      <c r="F66" s="21"/>
      <c r="G66" s="21"/>
      <c r="H66" s="24"/>
      <c r="I66" s="30"/>
      <c r="J66" s="21"/>
      <c r="K66" s="30"/>
      <c r="L66" s="30"/>
      <c r="M66" s="21"/>
      <c r="N66" s="21"/>
      <c r="O66" s="21"/>
      <c r="P66" s="58"/>
      <c r="Q66" s="58"/>
    </row>
    <row r="67" spans="1:17" s="6" customFormat="1" ht="25.5" hidden="1" customHeight="1" thickBot="1">
      <c r="A67" s="30"/>
      <c r="B67" s="40" t="s">
        <v>41</v>
      </c>
      <c r="C67" s="397"/>
      <c r="D67" s="41"/>
      <c r="E67" s="21"/>
      <c r="F67" s="21"/>
      <c r="G67" s="21"/>
      <c r="H67" s="21"/>
      <c r="I67" s="63"/>
      <c r="J67" s="393"/>
      <c r="K67" s="64"/>
      <c r="L67" s="64"/>
      <c r="M67" s="65"/>
      <c r="N67" s="65"/>
      <c r="O67" s="65"/>
      <c r="P67" s="66"/>
      <c r="Q67" s="58"/>
    </row>
    <row r="68" spans="1:17" s="6" customFormat="1" ht="39" hidden="1" customHeight="1">
      <c r="A68" s="42"/>
      <c r="B68" s="43" t="s">
        <v>27</v>
      </c>
      <c r="C68" s="44" t="s">
        <v>28</v>
      </c>
      <c r="D68" s="44" t="s">
        <v>29</v>
      </c>
      <c r="E68" s="394" t="s">
        <v>30</v>
      </c>
      <c r="F68" s="394" t="s">
        <v>31</v>
      </c>
      <c r="G68" s="414" t="s">
        <v>32</v>
      </c>
      <c r="H68" s="414"/>
      <c r="I68" s="394" t="s">
        <v>33</v>
      </c>
      <c r="J68" s="67" t="s">
        <v>34</v>
      </c>
      <c r="K68" s="92" t="s">
        <v>35</v>
      </c>
      <c r="L68" s="92" t="s">
        <v>40</v>
      </c>
      <c r="M68" s="93" t="s">
        <v>37</v>
      </c>
      <c r="N68" s="93"/>
      <c r="O68" s="93"/>
      <c r="P68" s="93" t="s">
        <v>120</v>
      </c>
      <c r="Q68" s="58"/>
    </row>
    <row r="69" spans="1:17" s="6" customFormat="1" ht="18" hidden="1" customHeight="1">
      <c r="A69" s="30"/>
      <c r="B69" s="46"/>
      <c r="C69" s="94" t="e">
        <f t="shared" ref="C69:C88" si="6">CONCATENATE("MFGG","-",MID(E69,1,3),MID(E69,10,1),"-","IDD")</f>
        <v>#N/A</v>
      </c>
      <c r="D69" s="47" t="e">
        <f>VLOOKUP(F69,Sheet2!$A$2:$D$31,4,0)</f>
        <v>#N/A</v>
      </c>
      <c r="E69" s="48" t="e">
        <f>VLOOKUP(F69,Sheet2!$A$2:$D$31,2,0)</f>
        <v>#N/A</v>
      </c>
      <c r="F69" s="48"/>
      <c r="G69" s="49"/>
      <c r="H69" s="50" t="e">
        <f>VLOOKUP(F69,Sheet2!$A$2:$D$31,3,0)</f>
        <v>#N/A</v>
      </c>
      <c r="I69" s="68"/>
      <c r="J69" s="95"/>
      <c r="K69" s="96" t="e">
        <f t="shared" ref="K69:K88" si="7">L69/G69</f>
        <v>#DIV/0!</v>
      </c>
      <c r="L69" s="104"/>
      <c r="M69" s="103"/>
      <c r="N69" s="103"/>
      <c r="O69" s="103"/>
      <c r="P69" s="70"/>
      <c r="Q69" s="58"/>
    </row>
    <row r="70" spans="1:17" s="6" customFormat="1" ht="18" hidden="1" customHeight="1">
      <c r="A70" s="30"/>
      <c r="B70" s="46"/>
      <c r="C70" s="94" t="e">
        <f t="shared" si="6"/>
        <v>#N/A</v>
      </c>
      <c r="D70" s="47" t="e">
        <f>VLOOKUP(F70,Sheet2!$A$2:$D$31,4,0)</f>
        <v>#N/A</v>
      </c>
      <c r="E70" s="48" t="e">
        <f>VLOOKUP(F70,Sheet2!$A$2:$D$31,2,0)</f>
        <v>#N/A</v>
      </c>
      <c r="F70" s="48"/>
      <c r="G70" s="49"/>
      <c r="H70" s="50" t="e">
        <f>VLOOKUP(F70,Sheet2!$A$2:$D$31,3,0)</f>
        <v>#N/A</v>
      </c>
      <c r="I70" s="68"/>
      <c r="J70" s="95"/>
      <c r="K70" s="96" t="e">
        <f t="shared" si="7"/>
        <v>#DIV/0!</v>
      </c>
      <c r="L70" s="104"/>
      <c r="M70" s="103"/>
      <c r="N70" s="103"/>
      <c r="O70" s="103"/>
      <c r="P70" s="70"/>
      <c r="Q70" s="58"/>
    </row>
    <row r="71" spans="1:17" s="6" customFormat="1" ht="18" hidden="1" customHeight="1">
      <c r="A71" s="30"/>
      <c r="B71" s="46"/>
      <c r="C71" s="94" t="e">
        <f t="shared" si="6"/>
        <v>#N/A</v>
      </c>
      <c r="D71" s="47" t="e">
        <f>VLOOKUP(F71,Sheet2!$A$2:$D$31,4,0)</f>
        <v>#N/A</v>
      </c>
      <c r="E71" s="48" t="e">
        <f>VLOOKUP(F71,Sheet2!$A$2:$D$31,2,0)</f>
        <v>#N/A</v>
      </c>
      <c r="F71" s="48"/>
      <c r="G71" s="49"/>
      <c r="H71" s="50" t="e">
        <f>VLOOKUP(F71,Sheet2!$A$2:$D$31,3,0)</f>
        <v>#N/A</v>
      </c>
      <c r="I71" s="68"/>
      <c r="J71" s="69"/>
      <c r="K71" s="96" t="e">
        <f t="shared" si="7"/>
        <v>#DIV/0!</v>
      </c>
      <c r="L71" s="104"/>
      <c r="M71" s="73"/>
      <c r="N71" s="103"/>
      <c r="O71" s="103"/>
      <c r="P71" s="70"/>
      <c r="Q71" s="58"/>
    </row>
    <row r="72" spans="1:17" s="6" customFormat="1" ht="18" hidden="1" customHeight="1">
      <c r="A72" s="30"/>
      <c r="B72" s="46"/>
      <c r="C72" s="94" t="e">
        <f t="shared" si="6"/>
        <v>#N/A</v>
      </c>
      <c r="D72" s="47" t="e">
        <f>VLOOKUP(F72,Sheet2!$A$2:$D$31,4,0)</f>
        <v>#N/A</v>
      </c>
      <c r="E72" s="48" t="e">
        <f>VLOOKUP(F72,Sheet2!$A$2:$D$31,2,0)</f>
        <v>#N/A</v>
      </c>
      <c r="F72" s="48"/>
      <c r="G72" s="49"/>
      <c r="H72" s="50" t="e">
        <f>VLOOKUP(F72,Sheet2!$A$2:$D$31,3,0)</f>
        <v>#N/A</v>
      </c>
      <c r="I72" s="68"/>
      <c r="J72" s="95"/>
      <c r="K72" s="96" t="e">
        <f t="shared" si="7"/>
        <v>#DIV/0!</v>
      </c>
      <c r="L72" s="104"/>
      <c r="M72" s="103"/>
      <c r="N72" s="103"/>
      <c r="O72" s="103"/>
      <c r="P72" s="70"/>
      <c r="Q72" s="58"/>
    </row>
    <row r="73" spans="1:17" s="6" customFormat="1" ht="18" hidden="1" customHeight="1">
      <c r="A73" s="30"/>
      <c r="B73" s="46"/>
      <c r="C73" s="94" t="e">
        <f t="shared" si="6"/>
        <v>#N/A</v>
      </c>
      <c r="D73" s="47" t="e">
        <f>VLOOKUP(F73,Sheet2!$A$2:$D$31,4,0)</f>
        <v>#N/A</v>
      </c>
      <c r="E73" s="48" t="e">
        <f>VLOOKUP(F73,Sheet2!$A$2:$D$31,2,0)</f>
        <v>#N/A</v>
      </c>
      <c r="F73" s="48"/>
      <c r="G73" s="49"/>
      <c r="H73" s="50" t="e">
        <f>VLOOKUP(F73,Sheet2!$A$2:$D$31,3,0)</f>
        <v>#N/A</v>
      </c>
      <c r="I73" s="68"/>
      <c r="J73" s="95"/>
      <c r="K73" s="96" t="e">
        <f t="shared" si="7"/>
        <v>#DIV/0!</v>
      </c>
      <c r="L73" s="104"/>
      <c r="M73" s="103"/>
      <c r="N73" s="103"/>
      <c r="O73" s="103"/>
      <c r="P73" s="70"/>
      <c r="Q73" s="58"/>
    </row>
    <row r="74" spans="1:17" s="6" customFormat="1" ht="18" hidden="1" customHeight="1">
      <c r="A74" s="30"/>
      <c r="B74" s="46"/>
      <c r="C74" s="94" t="e">
        <f t="shared" si="6"/>
        <v>#N/A</v>
      </c>
      <c r="D74" s="47" t="e">
        <f>VLOOKUP(F74,Sheet2!$A$2:$D$31,4,0)</f>
        <v>#N/A</v>
      </c>
      <c r="E74" s="48" t="e">
        <f>VLOOKUP(F74,Sheet2!$A$2:$D$31,2,0)</f>
        <v>#N/A</v>
      </c>
      <c r="F74" s="48"/>
      <c r="G74" s="49"/>
      <c r="H74" s="50" t="e">
        <f>VLOOKUP(F74,Sheet2!$A$2:$D$31,3,0)</f>
        <v>#N/A</v>
      </c>
      <c r="I74" s="68"/>
      <c r="J74" s="95"/>
      <c r="K74" s="96" t="e">
        <f t="shared" si="7"/>
        <v>#DIV/0!</v>
      </c>
      <c r="L74" s="97"/>
      <c r="M74" s="70"/>
      <c r="N74" s="70"/>
      <c r="O74" s="70"/>
      <c r="P74" s="70"/>
      <c r="Q74" s="58"/>
    </row>
    <row r="75" spans="1:17" s="6" customFormat="1" ht="18" hidden="1" customHeight="1">
      <c r="A75" s="30"/>
      <c r="B75" s="46"/>
      <c r="C75" s="94" t="e">
        <f t="shared" si="6"/>
        <v>#N/A</v>
      </c>
      <c r="D75" s="47" t="e">
        <f>VLOOKUP(F75,Sheet2!$A$2:$D$31,4,0)</f>
        <v>#N/A</v>
      </c>
      <c r="E75" s="48" t="e">
        <f>VLOOKUP(F75,Sheet2!$A$2:$D$31,2,0)</f>
        <v>#N/A</v>
      </c>
      <c r="F75" s="48"/>
      <c r="G75" s="49"/>
      <c r="H75" s="50" t="e">
        <f>VLOOKUP(F75,Sheet2!$A$2:$D$31,3,0)</f>
        <v>#N/A</v>
      </c>
      <c r="I75" s="68"/>
      <c r="J75" s="95"/>
      <c r="K75" s="96" t="e">
        <f t="shared" si="7"/>
        <v>#DIV/0!</v>
      </c>
      <c r="L75" s="104"/>
      <c r="M75" s="103"/>
      <c r="N75" s="103"/>
      <c r="O75" s="103"/>
      <c r="P75" s="70"/>
      <c r="Q75" s="58"/>
    </row>
    <row r="76" spans="1:17" s="6" customFormat="1" ht="18" hidden="1" customHeight="1">
      <c r="A76" s="30"/>
      <c r="B76" s="46"/>
      <c r="C76" s="94" t="e">
        <f t="shared" si="6"/>
        <v>#N/A</v>
      </c>
      <c r="D76" s="47" t="e">
        <f>VLOOKUP(F76,Sheet2!$A$2:$D$31,4,0)</f>
        <v>#N/A</v>
      </c>
      <c r="E76" s="48" t="e">
        <f>VLOOKUP(F76,Sheet2!$A$2:$D$31,2,0)</f>
        <v>#N/A</v>
      </c>
      <c r="F76" s="48"/>
      <c r="G76" s="49"/>
      <c r="H76" s="50" t="e">
        <f>VLOOKUP(F76,Sheet2!$A$2:$D$31,3,0)</f>
        <v>#N/A</v>
      </c>
      <c r="I76" s="68"/>
      <c r="J76" s="95"/>
      <c r="K76" s="96" t="e">
        <f t="shared" si="7"/>
        <v>#DIV/0!</v>
      </c>
      <c r="L76" s="104"/>
      <c r="M76" s="103"/>
      <c r="N76" s="103"/>
      <c r="O76" s="103"/>
      <c r="P76" s="70"/>
      <c r="Q76" s="58"/>
    </row>
    <row r="77" spans="1:17" s="6" customFormat="1" ht="18" hidden="1" customHeight="1">
      <c r="A77" s="30"/>
      <c r="B77" s="46"/>
      <c r="C77" s="94" t="e">
        <f t="shared" si="6"/>
        <v>#N/A</v>
      </c>
      <c r="D77" s="47" t="e">
        <f>VLOOKUP(F77,Sheet2!$A$2:$D$31,4,0)</f>
        <v>#N/A</v>
      </c>
      <c r="E77" s="48" t="e">
        <f>VLOOKUP(F77,Sheet2!$A$2:$D$31,2,0)</f>
        <v>#N/A</v>
      </c>
      <c r="F77" s="48"/>
      <c r="G77" s="49"/>
      <c r="H77" s="50" t="e">
        <f>VLOOKUP(F77,Sheet2!$A$2:$D$31,3,0)</f>
        <v>#N/A</v>
      </c>
      <c r="I77" s="68"/>
      <c r="J77" s="95"/>
      <c r="K77" s="96" t="e">
        <f t="shared" si="7"/>
        <v>#DIV/0!</v>
      </c>
      <c r="L77" s="104"/>
      <c r="M77" s="103"/>
      <c r="N77" s="103"/>
      <c r="O77" s="103"/>
      <c r="P77" s="70"/>
      <c r="Q77" s="58"/>
    </row>
    <row r="78" spans="1:17" s="6" customFormat="1" ht="18" hidden="1" customHeight="1">
      <c r="A78" s="30"/>
      <c r="B78" s="46"/>
      <c r="C78" s="94" t="e">
        <f t="shared" si="6"/>
        <v>#N/A</v>
      </c>
      <c r="D78" s="47" t="e">
        <f>VLOOKUP(F78,Sheet2!$A$2:$D$31,4,0)</f>
        <v>#N/A</v>
      </c>
      <c r="E78" s="48" t="e">
        <f>VLOOKUP(F78,Sheet2!$A$2:$D$31,2,0)</f>
        <v>#N/A</v>
      </c>
      <c r="F78" s="48"/>
      <c r="G78" s="49"/>
      <c r="H78" s="50" t="e">
        <f>VLOOKUP(F78,Sheet2!$A$2:$D$31,3,0)</f>
        <v>#N/A</v>
      </c>
      <c r="I78" s="68"/>
      <c r="J78" s="95"/>
      <c r="K78" s="96" t="e">
        <f t="shared" si="7"/>
        <v>#DIV/0!</v>
      </c>
      <c r="L78" s="104"/>
      <c r="M78" s="103"/>
      <c r="N78" s="103"/>
      <c r="O78" s="103"/>
      <c r="P78" s="70"/>
      <c r="Q78" s="58"/>
    </row>
    <row r="79" spans="1:17" s="6" customFormat="1" ht="18" hidden="1" customHeight="1">
      <c r="A79" s="30"/>
      <c r="B79" s="46"/>
      <c r="C79" s="94" t="e">
        <f t="shared" si="6"/>
        <v>#N/A</v>
      </c>
      <c r="D79" s="47" t="e">
        <f>VLOOKUP(F79,Sheet2!$A$2:$D$31,4,0)</f>
        <v>#N/A</v>
      </c>
      <c r="E79" s="48" t="e">
        <f>VLOOKUP(F79,Sheet2!$A$2:$D$31,2,0)</f>
        <v>#N/A</v>
      </c>
      <c r="F79" s="48"/>
      <c r="G79" s="49"/>
      <c r="H79" s="50" t="e">
        <f>VLOOKUP(F79,Sheet2!$A$2:$D$31,3,0)</f>
        <v>#N/A</v>
      </c>
      <c r="I79" s="68"/>
      <c r="J79" s="95"/>
      <c r="K79" s="96" t="e">
        <f t="shared" si="7"/>
        <v>#DIV/0!</v>
      </c>
      <c r="L79" s="104"/>
      <c r="M79" s="103"/>
      <c r="N79" s="103"/>
      <c r="O79" s="103"/>
      <c r="P79" s="70"/>
      <c r="Q79" s="58"/>
    </row>
    <row r="80" spans="1:17" s="6" customFormat="1" ht="18" hidden="1" customHeight="1">
      <c r="A80" s="30"/>
      <c r="B80" s="46"/>
      <c r="C80" s="94" t="e">
        <f t="shared" si="6"/>
        <v>#N/A</v>
      </c>
      <c r="D80" s="47" t="e">
        <f>VLOOKUP(F80,Sheet2!$A$2:$D$31,4,0)</f>
        <v>#N/A</v>
      </c>
      <c r="E80" s="48" t="e">
        <f>VLOOKUP(F80,Sheet2!$A$2:$D$31,2,0)</f>
        <v>#N/A</v>
      </c>
      <c r="F80" s="48"/>
      <c r="G80" s="49"/>
      <c r="H80" s="50" t="e">
        <f>VLOOKUP(F80,Sheet2!$A$2:$D$31,3,0)</f>
        <v>#N/A</v>
      </c>
      <c r="I80" s="68"/>
      <c r="J80" s="69"/>
      <c r="K80" s="96" t="e">
        <f t="shared" si="7"/>
        <v>#DIV/0!</v>
      </c>
      <c r="L80" s="104"/>
      <c r="M80" s="73"/>
      <c r="N80" s="103"/>
      <c r="O80" s="103"/>
      <c r="P80" s="70"/>
      <c r="Q80" s="58"/>
    </row>
    <row r="81" spans="1:17" s="6" customFormat="1" ht="18" hidden="1" customHeight="1">
      <c r="A81" s="30"/>
      <c r="B81" s="46"/>
      <c r="C81" s="94" t="e">
        <f t="shared" si="6"/>
        <v>#N/A</v>
      </c>
      <c r="D81" s="47" t="e">
        <f>VLOOKUP(F81,Sheet2!$A$2:$D$31,4,0)</f>
        <v>#N/A</v>
      </c>
      <c r="E81" s="48" t="e">
        <f>VLOOKUP(F81,Sheet2!$A$2:$D$31,2,0)</f>
        <v>#N/A</v>
      </c>
      <c r="F81" s="48"/>
      <c r="G81" s="49"/>
      <c r="H81" s="50" t="e">
        <f>VLOOKUP(F81,Sheet2!$A$2:$D$31,3,0)</f>
        <v>#N/A</v>
      </c>
      <c r="I81" s="68"/>
      <c r="J81" s="95"/>
      <c r="K81" s="96" t="e">
        <f t="shared" si="7"/>
        <v>#DIV/0!</v>
      </c>
      <c r="L81" s="104"/>
      <c r="M81" s="103"/>
      <c r="N81" s="103"/>
      <c r="O81" s="103"/>
      <c r="P81" s="70"/>
      <c r="Q81" s="58"/>
    </row>
    <row r="82" spans="1:17" s="6" customFormat="1" ht="18" hidden="1" customHeight="1">
      <c r="A82" s="30"/>
      <c r="B82" s="46"/>
      <c r="C82" s="94" t="e">
        <f t="shared" si="6"/>
        <v>#N/A</v>
      </c>
      <c r="D82" s="47" t="e">
        <f>VLOOKUP(F82,Sheet2!$A$2:$D$31,4,0)</f>
        <v>#N/A</v>
      </c>
      <c r="E82" s="48" t="e">
        <f>VLOOKUP(F82,Sheet2!$A$2:$D$31,2,0)</f>
        <v>#N/A</v>
      </c>
      <c r="F82" s="48"/>
      <c r="G82" s="49"/>
      <c r="H82" s="50" t="e">
        <f>VLOOKUP(F82,Sheet2!$A$2:$D$31,3,0)</f>
        <v>#N/A</v>
      </c>
      <c r="I82" s="68"/>
      <c r="J82" s="95"/>
      <c r="K82" s="96" t="e">
        <f t="shared" si="7"/>
        <v>#DIV/0!</v>
      </c>
      <c r="L82" s="104"/>
      <c r="M82" s="103"/>
      <c r="N82" s="103"/>
      <c r="O82" s="103"/>
      <c r="P82" s="70"/>
      <c r="Q82" s="58"/>
    </row>
    <row r="83" spans="1:17" s="6" customFormat="1" ht="18" hidden="1" customHeight="1">
      <c r="A83" s="30"/>
      <c r="B83" s="46"/>
      <c r="C83" s="94" t="e">
        <f t="shared" si="6"/>
        <v>#N/A</v>
      </c>
      <c r="D83" s="47" t="e">
        <f>VLOOKUP(F83,Sheet2!$A$2:$D$31,4,0)</f>
        <v>#N/A</v>
      </c>
      <c r="E83" s="48" t="e">
        <f>VLOOKUP(F83,Sheet2!$A$2:$D$31,2,0)</f>
        <v>#N/A</v>
      </c>
      <c r="F83" s="48"/>
      <c r="G83" s="49"/>
      <c r="H83" s="50" t="e">
        <f>VLOOKUP(F83,Sheet2!$A$2:$D$31,3,0)</f>
        <v>#N/A</v>
      </c>
      <c r="I83" s="68"/>
      <c r="J83" s="95"/>
      <c r="K83" s="96" t="e">
        <f t="shared" si="7"/>
        <v>#DIV/0!</v>
      </c>
      <c r="L83" s="104"/>
      <c r="M83" s="103"/>
      <c r="N83" s="103"/>
      <c r="O83" s="103"/>
      <c r="P83" s="70"/>
      <c r="Q83" s="58"/>
    </row>
    <row r="84" spans="1:17" s="6" customFormat="1" ht="18" hidden="1" customHeight="1">
      <c r="A84" s="30"/>
      <c r="B84" s="46"/>
      <c r="C84" s="94" t="e">
        <f t="shared" si="6"/>
        <v>#N/A</v>
      </c>
      <c r="D84" s="47" t="e">
        <f>VLOOKUP(F84,Sheet2!$A$2:$D$31,4,0)</f>
        <v>#N/A</v>
      </c>
      <c r="E84" s="48" t="e">
        <f>VLOOKUP(F84,Sheet2!$A$2:$D$31,2,0)</f>
        <v>#N/A</v>
      </c>
      <c r="F84" s="48"/>
      <c r="G84" s="49"/>
      <c r="H84" s="50" t="e">
        <f>VLOOKUP(F84,Sheet2!$A$2:$D$31,3,0)</f>
        <v>#N/A</v>
      </c>
      <c r="I84" s="68"/>
      <c r="J84" s="95"/>
      <c r="K84" s="96" t="e">
        <f t="shared" si="7"/>
        <v>#DIV/0!</v>
      </c>
      <c r="L84" s="104"/>
      <c r="M84" s="103"/>
      <c r="N84" s="103"/>
      <c r="O84" s="103"/>
      <c r="P84" s="70"/>
      <c r="Q84" s="58"/>
    </row>
    <row r="85" spans="1:17" s="6" customFormat="1" ht="18" hidden="1" customHeight="1">
      <c r="A85" s="30"/>
      <c r="B85" s="46"/>
      <c r="C85" s="94" t="e">
        <f t="shared" si="6"/>
        <v>#N/A</v>
      </c>
      <c r="D85" s="47" t="e">
        <f>VLOOKUP(F85,Sheet2!$A$2:$D$31,4,0)</f>
        <v>#N/A</v>
      </c>
      <c r="E85" s="48" t="e">
        <f>VLOOKUP(F85,Sheet2!$A$2:$D$31,2,0)</f>
        <v>#N/A</v>
      </c>
      <c r="F85" s="48"/>
      <c r="G85" s="49"/>
      <c r="H85" s="50" t="e">
        <f>VLOOKUP(F85,Sheet2!$A$2:$D$31,3,0)</f>
        <v>#N/A</v>
      </c>
      <c r="I85" s="68"/>
      <c r="J85" s="95"/>
      <c r="K85" s="96" t="e">
        <f t="shared" si="7"/>
        <v>#DIV/0!</v>
      </c>
      <c r="L85" s="104"/>
      <c r="M85" s="103"/>
      <c r="N85" s="103"/>
      <c r="O85" s="103"/>
      <c r="P85" s="70"/>
      <c r="Q85" s="58"/>
    </row>
    <row r="86" spans="1:17" s="6" customFormat="1" ht="18" hidden="1" customHeight="1">
      <c r="A86" s="30"/>
      <c r="B86" s="46"/>
      <c r="C86" s="94" t="e">
        <f t="shared" si="6"/>
        <v>#N/A</v>
      </c>
      <c r="D86" s="47" t="e">
        <f>VLOOKUP(F86,Sheet2!$A$2:$D$31,4,0)</f>
        <v>#N/A</v>
      </c>
      <c r="E86" s="48" t="e">
        <f>VLOOKUP(F86,Sheet2!$A$2:$D$31,2,0)</f>
        <v>#N/A</v>
      </c>
      <c r="F86" s="48"/>
      <c r="G86" s="49"/>
      <c r="H86" s="50" t="e">
        <f>VLOOKUP(F86,Sheet2!$A$2:$D$31,3,0)</f>
        <v>#N/A</v>
      </c>
      <c r="I86" s="68"/>
      <c r="J86" s="69"/>
      <c r="K86" s="96" t="e">
        <f t="shared" si="7"/>
        <v>#DIV/0!</v>
      </c>
      <c r="L86" s="104"/>
      <c r="M86" s="73"/>
      <c r="N86" s="103"/>
      <c r="O86" s="103"/>
      <c r="P86" s="70"/>
      <c r="Q86" s="58"/>
    </row>
    <row r="87" spans="1:17" s="6" customFormat="1" ht="18" hidden="1" customHeight="1">
      <c r="A87" s="30"/>
      <c r="B87" s="46"/>
      <c r="C87" s="94" t="e">
        <f t="shared" si="6"/>
        <v>#N/A</v>
      </c>
      <c r="D87" s="47" t="e">
        <f>VLOOKUP(F87,Sheet2!$A$2:$D$31,4,0)</f>
        <v>#N/A</v>
      </c>
      <c r="E87" s="48" t="e">
        <f>VLOOKUP(F87,Sheet2!$A$2:$D$31,2,0)</f>
        <v>#N/A</v>
      </c>
      <c r="F87" s="48"/>
      <c r="G87" s="49"/>
      <c r="H87" s="50" t="e">
        <f>VLOOKUP(F87,Sheet2!$A$2:$D$31,3,0)</f>
        <v>#N/A</v>
      </c>
      <c r="I87" s="68"/>
      <c r="J87" s="95"/>
      <c r="K87" s="96" t="e">
        <f t="shared" si="7"/>
        <v>#DIV/0!</v>
      </c>
      <c r="L87" s="104"/>
      <c r="M87" s="103"/>
      <c r="N87" s="103"/>
      <c r="O87" s="103"/>
      <c r="P87" s="70"/>
      <c r="Q87" s="58"/>
    </row>
    <row r="88" spans="1:17" s="6" customFormat="1" ht="18" hidden="1" customHeight="1">
      <c r="A88" s="30"/>
      <c r="B88" s="46"/>
      <c r="C88" s="94" t="e">
        <f t="shared" si="6"/>
        <v>#N/A</v>
      </c>
      <c r="D88" s="47" t="e">
        <f>VLOOKUP(F88,Sheet2!$A$2:$D$31,4,0)</f>
        <v>#N/A</v>
      </c>
      <c r="E88" s="48" t="e">
        <f>VLOOKUP(F88,Sheet2!$A$2:$D$31,2,0)</f>
        <v>#N/A</v>
      </c>
      <c r="F88" s="48"/>
      <c r="G88" s="49"/>
      <c r="H88" s="50" t="e">
        <f>VLOOKUP(F88,Sheet2!$A$2:$D$31,3,0)</f>
        <v>#N/A</v>
      </c>
      <c r="I88" s="68"/>
      <c r="J88" s="95"/>
      <c r="K88" s="96" t="e">
        <f t="shared" si="7"/>
        <v>#DIV/0!</v>
      </c>
      <c r="L88" s="104"/>
      <c r="M88" s="103"/>
      <c r="N88" s="103"/>
      <c r="O88" s="103"/>
      <c r="P88" s="70"/>
      <c r="Q88" s="58"/>
    </row>
    <row r="89" spans="1:17" s="6" customFormat="1" ht="22.5" hidden="1" customHeight="1" thickBot="1">
      <c r="A89" s="30"/>
      <c r="B89" s="51"/>
      <c r="C89" s="99"/>
      <c r="D89" s="52"/>
      <c r="E89" s="53" t="s">
        <v>38</v>
      </c>
      <c r="F89" s="53"/>
      <c r="G89" s="54">
        <f>SUM(G69:G88)</f>
        <v>0</v>
      </c>
      <c r="H89" s="55"/>
      <c r="I89" s="71">
        <f>SUM(I69:I88)</f>
        <v>0</v>
      </c>
      <c r="J89" s="72">
        <f>SUM(J69:J88)</f>
        <v>0</v>
      </c>
      <c r="K89" s="71"/>
      <c r="L89" s="100">
        <f>SUM(L69:L88)</f>
        <v>0</v>
      </c>
      <c r="M89" s="101">
        <f>SUM(M69:M88)</f>
        <v>0</v>
      </c>
      <c r="N89" s="101"/>
      <c r="O89" s="101"/>
      <c r="P89" s="101">
        <f>SUM(P69:P88)</f>
        <v>0</v>
      </c>
      <c r="Q89" s="58"/>
    </row>
    <row r="90" spans="1:17" s="6" customFormat="1" ht="15" hidden="1" customHeight="1">
      <c r="A90" s="39"/>
      <c r="B90" s="21"/>
      <c r="C90" s="397"/>
      <c r="D90" s="21"/>
      <c r="E90" s="21"/>
      <c r="F90" s="21"/>
      <c r="G90" s="21"/>
      <c r="H90" s="24"/>
      <c r="I90" s="30"/>
      <c r="J90" s="21"/>
      <c r="K90" s="30"/>
      <c r="L90" s="30"/>
      <c r="M90" s="21"/>
      <c r="N90" s="21"/>
      <c r="O90" s="21"/>
      <c r="P90" s="58"/>
      <c r="Q90" s="58"/>
    </row>
    <row r="91" spans="1:17" s="6" customFormat="1" ht="25.5" hidden="1" customHeight="1" thickBot="1">
      <c r="A91" s="30"/>
      <c r="B91" s="40" t="s">
        <v>42</v>
      </c>
      <c r="C91" s="397"/>
      <c r="D91" s="41"/>
      <c r="E91" s="21"/>
      <c r="F91" s="21"/>
      <c r="G91" s="21"/>
      <c r="H91" s="21"/>
      <c r="I91" s="63"/>
      <c r="J91" s="393"/>
      <c r="K91" s="64"/>
      <c r="L91" s="64"/>
      <c r="M91" s="65"/>
      <c r="N91" s="65"/>
      <c r="O91" s="65"/>
      <c r="P91" s="66"/>
      <c r="Q91" s="58"/>
    </row>
    <row r="92" spans="1:17" s="6" customFormat="1" ht="39" hidden="1" customHeight="1">
      <c r="A92" s="42"/>
      <c r="B92" s="43" t="s">
        <v>27</v>
      </c>
      <c r="C92" s="44" t="s">
        <v>28</v>
      </c>
      <c r="D92" s="44" t="s">
        <v>29</v>
      </c>
      <c r="E92" s="394" t="s">
        <v>30</v>
      </c>
      <c r="F92" s="394" t="s">
        <v>31</v>
      </c>
      <c r="G92" s="414" t="s">
        <v>32</v>
      </c>
      <c r="H92" s="414"/>
      <c r="I92" s="394" t="s">
        <v>33</v>
      </c>
      <c r="J92" s="67" t="s">
        <v>34</v>
      </c>
      <c r="K92" s="92" t="s">
        <v>35</v>
      </c>
      <c r="L92" s="92" t="s">
        <v>36</v>
      </c>
      <c r="M92" s="93" t="s">
        <v>37</v>
      </c>
      <c r="N92" s="93"/>
      <c r="O92" s="93"/>
      <c r="P92" s="93" t="s">
        <v>120</v>
      </c>
      <c r="Q92" s="58"/>
    </row>
    <row r="93" spans="1:17" s="6" customFormat="1" ht="18" hidden="1" customHeight="1">
      <c r="A93" s="30"/>
      <c r="B93" s="46"/>
      <c r="C93" s="94" t="e">
        <f t="shared" ref="C93:C112" si="8">CONCATENATE("MFGG","-",MID(E93,1,3),MID(E93,10,1),"-","IDD")</f>
        <v>#N/A</v>
      </c>
      <c r="D93" s="47" t="e">
        <f>VLOOKUP(F93,Sheet2!$A$2:$D$31,4,0)</f>
        <v>#N/A</v>
      </c>
      <c r="E93" s="48" t="e">
        <f>VLOOKUP(F93,Sheet2!$A$2:$D$31,2,0)</f>
        <v>#N/A</v>
      </c>
      <c r="F93" s="48"/>
      <c r="G93" s="49"/>
      <c r="H93" s="50" t="e">
        <f>VLOOKUP(F93,Sheet2!$A$2:$D$31,3,0)</f>
        <v>#N/A</v>
      </c>
      <c r="I93" s="68"/>
      <c r="J93" s="95"/>
      <c r="K93" s="96" t="e">
        <f t="shared" ref="K93:K112" si="9">L93/G93</f>
        <v>#DIV/0!</v>
      </c>
      <c r="L93" s="104"/>
      <c r="M93" s="103"/>
      <c r="N93" s="103"/>
      <c r="O93" s="103"/>
      <c r="P93" s="70"/>
      <c r="Q93" s="58"/>
    </row>
    <row r="94" spans="1:17" s="6" customFormat="1" ht="18" hidden="1" customHeight="1">
      <c r="A94" s="30"/>
      <c r="B94" s="46"/>
      <c r="C94" s="94" t="e">
        <f t="shared" si="8"/>
        <v>#N/A</v>
      </c>
      <c r="D94" s="47" t="e">
        <f>VLOOKUP(F94,Sheet2!$A$2:$D$31,4,0)</f>
        <v>#N/A</v>
      </c>
      <c r="E94" s="48" t="e">
        <f>VLOOKUP(F94,Sheet2!$A$2:$D$31,2,0)</f>
        <v>#N/A</v>
      </c>
      <c r="F94" s="48"/>
      <c r="G94" s="49"/>
      <c r="H94" s="50" t="e">
        <f>VLOOKUP(F94,Sheet2!$A$2:$D$31,3,0)</f>
        <v>#N/A</v>
      </c>
      <c r="I94" s="68"/>
      <c r="J94" s="95"/>
      <c r="K94" s="96" t="e">
        <f t="shared" si="9"/>
        <v>#DIV/0!</v>
      </c>
      <c r="L94" s="104"/>
      <c r="M94" s="103"/>
      <c r="N94" s="103"/>
      <c r="O94" s="103"/>
      <c r="P94" s="70"/>
      <c r="Q94" s="58"/>
    </row>
    <row r="95" spans="1:17" s="6" customFormat="1" ht="18" hidden="1" customHeight="1">
      <c r="A95" s="30"/>
      <c r="B95" s="46"/>
      <c r="C95" s="94" t="e">
        <f t="shared" si="8"/>
        <v>#N/A</v>
      </c>
      <c r="D95" s="47" t="e">
        <f>VLOOKUP(F95,Sheet2!$A$2:$D$31,4,0)</f>
        <v>#N/A</v>
      </c>
      <c r="E95" s="48" t="e">
        <f>VLOOKUP(F95,Sheet2!$A$2:$D$31,2,0)</f>
        <v>#N/A</v>
      </c>
      <c r="F95" s="48"/>
      <c r="G95" s="49"/>
      <c r="H95" s="50" t="e">
        <f>VLOOKUP(F95,Sheet2!$A$2:$D$31,3,0)</f>
        <v>#N/A</v>
      </c>
      <c r="I95" s="68"/>
      <c r="J95" s="69"/>
      <c r="K95" s="96" t="e">
        <f t="shared" si="9"/>
        <v>#DIV/0!</v>
      </c>
      <c r="L95" s="104"/>
      <c r="M95" s="73"/>
      <c r="N95" s="103"/>
      <c r="O95" s="103"/>
      <c r="P95" s="70"/>
      <c r="Q95" s="58"/>
    </row>
    <row r="96" spans="1:17" s="6" customFormat="1" ht="18" hidden="1" customHeight="1">
      <c r="A96" s="30"/>
      <c r="B96" s="46"/>
      <c r="C96" s="94" t="e">
        <f t="shared" si="8"/>
        <v>#N/A</v>
      </c>
      <c r="D96" s="47" t="e">
        <f>VLOOKUP(F96,Sheet2!$A$2:$D$31,4,0)</f>
        <v>#N/A</v>
      </c>
      <c r="E96" s="48" t="e">
        <f>VLOOKUP(F96,Sheet2!$A$2:$D$31,2,0)</f>
        <v>#N/A</v>
      </c>
      <c r="F96" s="48"/>
      <c r="G96" s="49"/>
      <c r="H96" s="50" t="e">
        <f>VLOOKUP(F96,Sheet2!$A$2:$D$31,3,0)</f>
        <v>#N/A</v>
      </c>
      <c r="I96" s="68"/>
      <c r="J96" s="95"/>
      <c r="K96" s="96" t="e">
        <f t="shared" si="9"/>
        <v>#DIV/0!</v>
      </c>
      <c r="L96" s="104"/>
      <c r="M96" s="103"/>
      <c r="N96" s="103"/>
      <c r="O96" s="103"/>
      <c r="P96" s="70"/>
      <c r="Q96" s="58"/>
    </row>
    <row r="97" spans="1:17" s="6" customFormat="1" ht="18" hidden="1" customHeight="1">
      <c r="A97" s="30"/>
      <c r="B97" s="46"/>
      <c r="C97" s="94" t="e">
        <f t="shared" si="8"/>
        <v>#N/A</v>
      </c>
      <c r="D97" s="47" t="e">
        <f>VLOOKUP(F97,Sheet2!$A$2:$D$31,4,0)</f>
        <v>#N/A</v>
      </c>
      <c r="E97" s="48" t="e">
        <f>VLOOKUP(F97,Sheet2!$A$2:$D$31,2,0)</f>
        <v>#N/A</v>
      </c>
      <c r="F97" s="48"/>
      <c r="G97" s="49"/>
      <c r="H97" s="50" t="e">
        <f>VLOOKUP(F97,Sheet2!$A$2:$D$31,3,0)</f>
        <v>#N/A</v>
      </c>
      <c r="I97" s="68"/>
      <c r="J97" s="95"/>
      <c r="K97" s="96" t="e">
        <f t="shared" si="9"/>
        <v>#DIV/0!</v>
      </c>
      <c r="L97" s="104"/>
      <c r="M97" s="103"/>
      <c r="N97" s="103"/>
      <c r="O97" s="103"/>
      <c r="P97" s="70"/>
      <c r="Q97" s="58"/>
    </row>
    <row r="98" spans="1:17" s="6" customFormat="1" ht="18" hidden="1" customHeight="1">
      <c r="A98" s="30"/>
      <c r="B98" s="46"/>
      <c r="C98" s="94" t="e">
        <f t="shared" si="8"/>
        <v>#N/A</v>
      </c>
      <c r="D98" s="47" t="e">
        <f>VLOOKUP(F98,Sheet2!$A$2:$D$31,4,0)</f>
        <v>#N/A</v>
      </c>
      <c r="E98" s="48" t="e">
        <f>VLOOKUP(F98,Sheet2!$A$2:$D$31,2,0)</f>
        <v>#N/A</v>
      </c>
      <c r="F98" s="48"/>
      <c r="G98" s="49"/>
      <c r="H98" s="50" t="e">
        <f>VLOOKUP(F98,Sheet2!$A$2:$D$31,3,0)</f>
        <v>#N/A</v>
      </c>
      <c r="I98" s="68"/>
      <c r="J98" s="95"/>
      <c r="K98" s="96" t="e">
        <f t="shared" si="9"/>
        <v>#DIV/0!</v>
      </c>
      <c r="L98" s="104"/>
      <c r="M98" s="103"/>
      <c r="N98" s="103"/>
      <c r="O98" s="103"/>
      <c r="P98" s="70"/>
      <c r="Q98" s="58"/>
    </row>
    <row r="99" spans="1:17" s="6" customFormat="1" ht="18" hidden="1" customHeight="1">
      <c r="A99" s="30"/>
      <c r="B99" s="46"/>
      <c r="C99" s="94" t="e">
        <f t="shared" si="8"/>
        <v>#N/A</v>
      </c>
      <c r="D99" s="47" t="e">
        <f>VLOOKUP(F99,Sheet2!$A$2:$D$31,4,0)</f>
        <v>#N/A</v>
      </c>
      <c r="E99" s="48" t="e">
        <f>VLOOKUP(F99,Sheet2!$A$2:$D$31,2,0)</f>
        <v>#N/A</v>
      </c>
      <c r="F99" s="48"/>
      <c r="G99" s="49"/>
      <c r="H99" s="50" t="e">
        <f>VLOOKUP(F99,Sheet2!$A$2:$D$31,3,0)</f>
        <v>#N/A</v>
      </c>
      <c r="I99" s="68"/>
      <c r="J99" s="95"/>
      <c r="K99" s="96" t="e">
        <f t="shared" si="9"/>
        <v>#DIV/0!</v>
      </c>
      <c r="L99" s="104"/>
      <c r="M99" s="103"/>
      <c r="N99" s="103"/>
      <c r="O99" s="103"/>
      <c r="P99" s="70"/>
      <c r="Q99" s="58"/>
    </row>
    <row r="100" spans="1:17" s="6" customFormat="1" ht="18" hidden="1" customHeight="1">
      <c r="A100" s="30"/>
      <c r="B100" s="46"/>
      <c r="C100" s="94" t="e">
        <f t="shared" si="8"/>
        <v>#N/A</v>
      </c>
      <c r="D100" s="47" t="e">
        <f>VLOOKUP(F100,Sheet2!$A$2:$D$31,4,0)</f>
        <v>#N/A</v>
      </c>
      <c r="E100" s="48" t="e">
        <f>VLOOKUP(F100,Sheet2!$A$2:$D$31,2,0)</f>
        <v>#N/A</v>
      </c>
      <c r="F100" s="48"/>
      <c r="G100" s="49"/>
      <c r="H100" s="50" t="e">
        <f>VLOOKUP(F100,Sheet2!$A$2:$D$31,3,0)</f>
        <v>#N/A</v>
      </c>
      <c r="I100" s="68"/>
      <c r="J100" s="69"/>
      <c r="K100" s="96" t="e">
        <f t="shared" si="9"/>
        <v>#DIV/0!</v>
      </c>
      <c r="L100" s="104"/>
      <c r="M100" s="73"/>
      <c r="N100" s="103"/>
      <c r="O100" s="103"/>
      <c r="P100" s="70"/>
      <c r="Q100" s="58"/>
    </row>
    <row r="101" spans="1:17" s="6" customFormat="1" ht="18" hidden="1" customHeight="1">
      <c r="A101" s="30"/>
      <c r="B101" s="46"/>
      <c r="C101" s="94" t="e">
        <f t="shared" si="8"/>
        <v>#N/A</v>
      </c>
      <c r="D101" s="47" t="e">
        <f>VLOOKUP(F101,Sheet2!$A$2:$D$31,4,0)</f>
        <v>#N/A</v>
      </c>
      <c r="E101" s="48" t="e">
        <f>VLOOKUP(F101,Sheet2!$A$2:$D$31,2,0)</f>
        <v>#N/A</v>
      </c>
      <c r="F101" s="48"/>
      <c r="G101" s="49"/>
      <c r="H101" s="50" t="e">
        <f>VLOOKUP(F101,Sheet2!$A$2:$D$31,3,0)</f>
        <v>#N/A</v>
      </c>
      <c r="I101" s="68"/>
      <c r="J101" s="69"/>
      <c r="K101" s="96" t="e">
        <f t="shared" si="9"/>
        <v>#DIV/0!</v>
      </c>
      <c r="L101" s="98"/>
      <c r="M101" s="70"/>
      <c r="N101" s="70"/>
      <c r="O101" s="70"/>
      <c r="P101" s="70"/>
      <c r="Q101" s="58"/>
    </row>
    <row r="102" spans="1:17" s="6" customFormat="1" ht="18" hidden="1" customHeight="1">
      <c r="A102" s="30"/>
      <c r="B102" s="46"/>
      <c r="C102" s="94" t="e">
        <f t="shared" si="8"/>
        <v>#N/A</v>
      </c>
      <c r="D102" s="47" t="e">
        <f>VLOOKUP(F102,Sheet2!$A$2:$D$31,4,0)</f>
        <v>#N/A</v>
      </c>
      <c r="E102" s="48" t="e">
        <f>VLOOKUP(F102,Sheet2!$A$2:$D$31,2,0)</f>
        <v>#N/A</v>
      </c>
      <c r="F102" s="48"/>
      <c r="G102" s="49"/>
      <c r="H102" s="50" t="e">
        <f>VLOOKUP(F102,Sheet2!$A$2:$D$31,3,0)</f>
        <v>#N/A</v>
      </c>
      <c r="I102" s="68"/>
      <c r="J102" s="69"/>
      <c r="K102" s="96" t="e">
        <f t="shared" si="9"/>
        <v>#DIV/0!</v>
      </c>
      <c r="L102" s="98"/>
      <c r="M102" s="70"/>
      <c r="N102" s="70"/>
      <c r="O102" s="70"/>
      <c r="P102" s="70"/>
      <c r="Q102" s="58"/>
    </row>
    <row r="103" spans="1:17" s="6" customFormat="1" ht="18" hidden="1" customHeight="1">
      <c r="A103" s="30"/>
      <c r="B103" s="46"/>
      <c r="C103" s="94" t="e">
        <f t="shared" si="8"/>
        <v>#N/A</v>
      </c>
      <c r="D103" s="47" t="e">
        <f>VLOOKUP(F103,Sheet2!$A$2:$D$31,4,0)</f>
        <v>#N/A</v>
      </c>
      <c r="E103" s="48" t="e">
        <f>VLOOKUP(F103,Sheet2!$A$2:$D$31,2,0)</f>
        <v>#N/A</v>
      </c>
      <c r="F103" s="48"/>
      <c r="G103" s="49"/>
      <c r="H103" s="50" t="e">
        <f>VLOOKUP(F103,Sheet2!$A$2:$D$31,3,0)</f>
        <v>#N/A</v>
      </c>
      <c r="I103" s="68"/>
      <c r="J103" s="69"/>
      <c r="K103" s="96" t="e">
        <f t="shared" si="9"/>
        <v>#DIV/0!</v>
      </c>
      <c r="L103" s="98"/>
      <c r="M103" s="70"/>
      <c r="N103" s="70"/>
      <c r="O103" s="70"/>
      <c r="P103" s="70"/>
      <c r="Q103" s="58"/>
    </row>
    <row r="104" spans="1:17" s="6" customFormat="1" ht="18" hidden="1" customHeight="1">
      <c r="A104" s="30"/>
      <c r="B104" s="46"/>
      <c r="C104" s="94" t="e">
        <f t="shared" si="8"/>
        <v>#N/A</v>
      </c>
      <c r="D104" s="47" t="e">
        <f>VLOOKUP(F104,Sheet2!$A$2:$D$31,4,0)</f>
        <v>#N/A</v>
      </c>
      <c r="E104" s="48" t="e">
        <f>VLOOKUP(F104,Sheet2!$A$2:$D$31,2,0)</f>
        <v>#N/A</v>
      </c>
      <c r="F104" s="48"/>
      <c r="G104" s="49"/>
      <c r="H104" s="50" t="e">
        <f>VLOOKUP(F104,Sheet2!$A$2:$D$31,3,0)</f>
        <v>#N/A</v>
      </c>
      <c r="I104" s="68"/>
      <c r="J104" s="69"/>
      <c r="K104" s="96" t="e">
        <f t="shared" si="9"/>
        <v>#DIV/0!</v>
      </c>
      <c r="L104" s="98"/>
      <c r="M104" s="70"/>
      <c r="N104" s="70"/>
      <c r="O104" s="70"/>
      <c r="P104" s="70"/>
      <c r="Q104" s="58"/>
    </row>
    <row r="105" spans="1:17" s="6" customFormat="1" ht="18" hidden="1" customHeight="1">
      <c r="A105" s="30"/>
      <c r="B105" s="46"/>
      <c r="C105" s="94" t="e">
        <f t="shared" si="8"/>
        <v>#N/A</v>
      </c>
      <c r="D105" s="47" t="e">
        <f>VLOOKUP(F105,Sheet2!$A$2:$D$31,4,0)</f>
        <v>#N/A</v>
      </c>
      <c r="E105" s="48" t="e">
        <f>VLOOKUP(F105,Sheet2!$A$2:$D$31,2,0)</f>
        <v>#N/A</v>
      </c>
      <c r="F105" s="48"/>
      <c r="G105" s="49"/>
      <c r="H105" s="50" t="e">
        <f>VLOOKUP(F105,Sheet2!$A$2:$D$31,3,0)</f>
        <v>#N/A</v>
      </c>
      <c r="I105" s="68"/>
      <c r="J105" s="69"/>
      <c r="K105" s="96" t="e">
        <f t="shared" si="9"/>
        <v>#DIV/0!</v>
      </c>
      <c r="L105" s="98"/>
      <c r="M105" s="70"/>
      <c r="N105" s="70"/>
      <c r="O105" s="70"/>
      <c r="P105" s="70"/>
      <c r="Q105" s="58"/>
    </row>
    <row r="106" spans="1:17" s="6" customFormat="1" ht="18" hidden="1" customHeight="1">
      <c r="A106" s="30"/>
      <c r="B106" s="46"/>
      <c r="C106" s="94" t="e">
        <f t="shared" si="8"/>
        <v>#N/A</v>
      </c>
      <c r="D106" s="47" t="e">
        <f>VLOOKUP(F106,Sheet2!$A$2:$D$31,4,0)</f>
        <v>#N/A</v>
      </c>
      <c r="E106" s="48" t="e">
        <f>VLOOKUP(F106,Sheet2!$A$2:$D$31,2,0)</f>
        <v>#N/A</v>
      </c>
      <c r="F106" s="48"/>
      <c r="G106" s="49"/>
      <c r="H106" s="50" t="e">
        <f>VLOOKUP(F106,Sheet2!$A$2:$D$31,3,0)</f>
        <v>#N/A</v>
      </c>
      <c r="I106" s="68"/>
      <c r="J106" s="95"/>
      <c r="K106" s="96" t="e">
        <f t="shared" si="9"/>
        <v>#DIV/0!</v>
      </c>
      <c r="L106" s="104"/>
      <c r="M106" s="103"/>
      <c r="N106" s="103"/>
      <c r="O106" s="103"/>
      <c r="P106" s="70"/>
      <c r="Q106" s="58"/>
    </row>
    <row r="107" spans="1:17" s="6" customFormat="1" ht="18" hidden="1" customHeight="1">
      <c r="A107" s="30"/>
      <c r="B107" s="46"/>
      <c r="C107" s="94" t="e">
        <f t="shared" si="8"/>
        <v>#N/A</v>
      </c>
      <c r="D107" s="47" t="e">
        <f>VLOOKUP(F107,Sheet2!$A$2:$D$31,4,0)</f>
        <v>#N/A</v>
      </c>
      <c r="E107" s="48" t="e">
        <f>VLOOKUP(F107,Sheet2!$A$2:$D$31,2,0)</f>
        <v>#N/A</v>
      </c>
      <c r="F107" s="48"/>
      <c r="G107" s="49"/>
      <c r="H107" s="50" t="e">
        <f>VLOOKUP(F107,Sheet2!$A$2:$D$31,3,0)</f>
        <v>#N/A</v>
      </c>
      <c r="I107" s="68"/>
      <c r="J107" s="95"/>
      <c r="K107" s="96" t="e">
        <f t="shared" si="9"/>
        <v>#DIV/0!</v>
      </c>
      <c r="L107" s="104"/>
      <c r="M107" s="103"/>
      <c r="N107" s="103"/>
      <c r="O107" s="103"/>
      <c r="P107" s="70"/>
      <c r="Q107" s="58"/>
    </row>
    <row r="108" spans="1:17" s="6" customFormat="1" ht="18" hidden="1" customHeight="1">
      <c r="A108" s="30"/>
      <c r="B108" s="46"/>
      <c r="C108" s="94" t="e">
        <f t="shared" si="8"/>
        <v>#N/A</v>
      </c>
      <c r="D108" s="47" t="e">
        <f>VLOOKUP(F108,Sheet2!$A$2:$D$31,4,0)</f>
        <v>#N/A</v>
      </c>
      <c r="E108" s="48" t="e">
        <f>VLOOKUP(F108,Sheet2!$A$2:$D$31,2,0)</f>
        <v>#N/A</v>
      </c>
      <c r="F108" s="48"/>
      <c r="G108" s="49"/>
      <c r="H108" s="50" t="e">
        <f>VLOOKUP(F108,Sheet2!$A$2:$D$31,3,0)</f>
        <v>#N/A</v>
      </c>
      <c r="I108" s="68"/>
      <c r="J108" s="95"/>
      <c r="K108" s="96" t="e">
        <f t="shared" si="9"/>
        <v>#DIV/0!</v>
      </c>
      <c r="L108" s="104"/>
      <c r="M108" s="103"/>
      <c r="N108" s="103"/>
      <c r="O108" s="103"/>
      <c r="P108" s="70"/>
      <c r="Q108" s="58"/>
    </row>
    <row r="109" spans="1:17" s="6" customFormat="1" ht="18" hidden="1" customHeight="1">
      <c r="A109" s="30"/>
      <c r="B109" s="46"/>
      <c r="C109" s="94" t="e">
        <f t="shared" si="8"/>
        <v>#N/A</v>
      </c>
      <c r="D109" s="47" t="e">
        <f>VLOOKUP(F109,Sheet2!$A$2:$D$31,4,0)</f>
        <v>#N/A</v>
      </c>
      <c r="E109" s="48" t="e">
        <f>VLOOKUP(F109,Sheet2!$A$2:$D$31,2,0)</f>
        <v>#N/A</v>
      </c>
      <c r="F109" s="48"/>
      <c r="G109" s="49"/>
      <c r="H109" s="50" t="e">
        <f>VLOOKUP(F109,Sheet2!$A$2:$D$31,3,0)</f>
        <v>#N/A</v>
      </c>
      <c r="I109" s="68"/>
      <c r="J109" s="95"/>
      <c r="K109" s="96" t="e">
        <f t="shared" si="9"/>
        <v>#DIV/0!</v>
      </c>
      <c r="L109" s="104"/>
      <c r="M109" s="103"/>
      <c r="N109" s="103"/>
      <c r="O109" s="103"/>
      <c r="P109" s="70"/>
      <c r="Q109" s="58"/>
    </row>
    <row r="110" spans="1:17" s="6" customFormat="1" ht="18" hidden="1" customHeight="1">
      <c r="A110" s="30"/>
      <c r="B110" s="46"/>
      <c r="C110" s="94" t="e">
        <f t="shared" si="8"/>
        <v>#N/A</v>
      </c>
      <c r="D110" s="47" t="e">
        <f>VLOOKUP(F110,Sheet2!$A$2:$D$31,4,0)</f>
        <v>#N/A</v>
      </c>
      <c r="E110" s="48" t="e">
        <f>VLOOKUP(F110,Sheet2!$A$2:$D$31,2,0)</f>
        <v>#N/A</v>
      </c>
      <c r="F110" s="48"/>
      <c r="G110" s="49"/>
      <c r="H110" s="50" t="e">
        <f>VLOOKUP(F110,Sheet2!$A$2:$D$31,3,0)</f>
        <v>#N/A</v>
      </c>
      <c r="I110" s="68"/>
      <c r="J110" s="69"/>
      <c r="K110" s="96" t="e">
        <f t="shared" si="9"/>
        <v>#DIV/0!</v>
      </c>
      <c r="L110" s="104"/>
      <c r="M110" s="73"/>
      <c r="N110" s="103"/>
      <c r="O110" s="103"/>
      <c r="P110" s="70"/>
      <c r="Q110" s="58"/>
    </row>
    <row r="111" spans="1:17" s="6" customFormat="1" ht="18" hidden="1" customHeight="1">
      <c r="A111" s="30"/>
      <c r="B111" s="46"/>
      <c r="C111" s="94" t="e">
        <f t="shared" si="8"/>
        <v>#N/A</v>
      </c>
      <c r="D111" s="47" t="e">
        <f>VLOOKUP(F111,Sheet2!$A$2:$D$31,4,0)</f>
        <v>#N/A</v>
      </c>
      <c r="E111" s="48" t="e">
        <f>VLOOKUP(F111,Sheet2!$A$2:$D$31,2,0)</f>
        <v>#N/A</v>
      </c>
      <c r="F111" s="48"/>
      <c r="G111" s="49"/>
      <c r="H111" s="50" t="e">
        <f>VLOOKUP(F111,Sheet2!$A$2:$D$31,3,0)</f>
        <v>#N/A</v>
      </c>
      <c r="I111" s="68"/>
      <c r="J111" s="95"/>
      <c r="K111" s="96" t="e">
        <f t="shared" si="9"/>
        <v>#DIV/0!</v>
      </c>
      <c r="L111" s="104"/>
      <c r="M111" s="103"/>
      <c r="N111" s="103"/>
      <c r="O111" s="103"/>
      <c r="P111" s="70"/>
      <c r="Q111" s="58"/>
    </row>
    <row r="112" spans="1:17" s="6" customFormat="1" ht="18" hidden="1" customHeight="1">
      <c r="A112" s="30"/>
      <c r="B112" s="46"/>
      <c r="C112" s="94" t="e">
        <f t="shared" si="8"/>
        <v>#N/A</v>
      </c>
      <c r="D112" s="47" t="e">
        <f>VLOOKUP(F112,Sheet2!$A$2:$D$31,4,0)</f>
        <v>#N/A</v>
      </c>
      <c r="E112" s="48" t="e">
        <f>VLOOKUP(F112,Sheet2!$A$2:$D$31,2,0)</f>
        <v>#N/A</v>
      </c>
      <c r="F112" s="48"/>
      <c r="G112" s="49"/>
      <c r="H112" s="50" t="e">
        <f>VLOOKUP(F112,Sheet2!$A$2:$D$31,3,0)</f>
        <v>#N/A</v>
      </c>
      <c r="I112" s="68"/>
      <c r="J112" s="95"/>
      <c r="K112" s="96" t="e">
        <f t="shared" si="9"/>
        <v>#DIV/0!</v>
      </c>
      <c r="L112" s="104"/>
      <c r="M112" s="103"/>
      <c r="N112" s="103"/>
      <c r="O112" s="103"/>
      <c r="P112" s="70"/>
      <c r="Q112" s="58"/>
    </row>
    <row r="113" spans="1:17" s="6" customFormat="1" ht="22.5" hidden="1" customHeight="1" thickBot="1">
      <c r="A113" s="30"/>
      <c r="B113" s="51"/>
      <c r="C113" s="99"/>
      <c r="D113" s="52"/>
      <c r="E113" s="53" t="s">
        <v>38</v>
      </c>
      <c r="F113" s="53"/>
      <c r="G113" s="54">
        <f>SUM(G93:G112)</f>
        <v>0</v>
      </c>
      <c r="H113" s="55"/>
      <c r="I113" s="71">
        <f>SUM(I93:I112)</f>
        <v>0</v>
      </c>
      <c r="J113" s="72">
        <f>SUM(J93:J112)</f>
        <v>0</v>
      </c>
      <c r="K113" s="71"/>
      <c r="L113" s="100">
        <f>SUM(L93:L112)</f>
        <v>0</v>
      </c>
      <c r="M113" s="101">
        <f>SUM(M93:M112)</f>
        <v>0</v>
      </c>
      <c r="N113" s="101"/>
      <c r="O113" s="101"/>
      <c r="P113" s="101">
        <f>SUM(P93:P112)</f>
        <v>0</v>
      </c>
      <c r="Q113" s="58"/>
    </row>
    <row r="114" spans="1:17" s="6" customFormat="1" ht="15" hidden="1" customHeight="1">
      <c r="A114" s="39"/>
      <c r="B114" s="21"/>
      <c r="C114" s="397"/>
      <c r="D114" s="21"/>
      <c r="E114" s="21"/>
      <c r="F114" s="21"/>
      <c r="G114" s="21"/>
      <c r="H114" s="24"/>
      <c r="I114" s="30"/>
      <c r="J114" s="21"/>
      <c r="K114" s="30"/>
      <c r="L114" s="30"/>
      <c r="M114" s="21"/>
      <c r="N114" s="21"/>
      <c r="O114" s="21"/>
      <c r="P114" s="58"/>
      <c r="Q114" s="58"/>
    </row>
    <row r="115" spans="1:17" s="6" customFormat="1" ht="25.5" hidden="1" customHeight="1" thickBot="1">
      <c r="A115" s="30"/>
      <c r="B115" s="40" t="s">
        <v>43</v>
      </c>
      <c r="C115" s="397"/>
      <c r="D115" s="41"/>
      <c r="E115" s="21"/>
      <c r="F115" s="21"/>
      <c r="G115" s="21"/>
      <c r="H115" s="21"/>
      <c r="I115" s="63"/>
      <c r="J115" s="393"/>
      <c r="K115" s="64"/>
      <c r="L115" s="64"/>
      <c r="M115" s="65"/>
      <c r="N115" s="65"/>
      <c r="O115" s="65"/>
      <c r="P115" s="66"/>
      <c r="Q115" s="58"/>
    </row>
    <row r="116" spans="1:17" s="6" customFormat="1" ht="39" hidden="1" customHeight="1">
      <c r="A116" s="42"/>
      <c r="B116" s="43" t="s">
        <v>27</v>
      </c>
      <c r="C116" s="44" t="s">
        <v>28</v>
      </c>
      <c r="D116" s="44" t="s">
        <v>29</v>
      </c>
      <c r="E116" s="394" t="s">
        <v>30</v>
      </c>
      <c r="F116" s="394" t="s">
        <v>31</v>
      </c>
      <c r="G116" s="414" t="s">
        <v>32</v>
      </c>
      <c r="H116" s="414"/>
      <c r="I116" s="394" t="s">
        <v>33</v>
      </c>
      <c r="J116" s="67" t="s">
        <v>34</v>
      </c>
      <c r="K116" s="92" t="s">
        <v>35</v>
      </c>
      <c r="L116" s="92" t="s">
        <v>36</v>
      </c>
      <c r="M116" s="93" t="s">
        <v>37</v>
      </c>
      <c r="N116" s="93"/>
      <c r="O116" s="93"/>
      <c r="P116" s="93" t="s">
        <v>120</v>
      </c>
      <c r="Q116" s="58"/>
    </row>
    <row r="117" spans="1:17" s="6" customFormat="1" ht="18" hidden="1" customHeight="1">
      <c r="A117" s="30"/>
      <c r="B117" s="46"/>
      <c r="C117" s="94" t="e">
        <f t="shared" ref="C117:C136" si="10">CONCATENATE("MFGG","-",MID(E117,1,3),MID(E117,10,1),"-","IDD")</f>
        <v>#N/A</v>
      </c>
      <c r="D117" s="47" t="e">
        <f>VLOOKUP(F117,Sheet2!$A$2:$D$31,4,0)</f>
        <v>#N/A</v>
      </c>
      <c r="E117" s="48" t="e">
        <f>VLOOKUP(F117,Sheet2!$A$2:$D$31,2,0)</f>
        <v>#N/A</v>
      </c>
      <c r="F117" s="48"/>
      <c r="G117" s="49"/>
      <c r="H117" s="50" t="e">
        <f>VLOOKUP(F117,Sheet2!$A$2:$D$31,3,0)</f>
        <v>#N/A</v>
      </c>
      <c r="I117" s="68"/>
      <c r="J117" s="95"/>
      <c r="K117" s="96" t="e">
        <f t="shared" ref="K117:K136" si="11">L117/G117</f>
        <v>#DIV/0!</v>
      </c>
      <c r="L117" s="104"/>
      <c r="M117" s="103"/>
      <c r="N117" s="103"/>
      <c r="O117" s="103"/>
      <c r="P117" s="70"/>
      <c r="Q117" s="58"/>
    </row>
    <row r="118" spans="1:17" s="6" customFormat="1" ht="18" hidden="1" customHeight="1">
      <c r="A118" s="30"/>
      <c r="B118" s="46"/>
      <c r="C118" s="94" t="e">
        <f t="shared" si="10"/>
        <v>#N/A</v>
      </c>
      <c r="D118" s="47" t="e">
        <f>VLOOKUP(F118,Sheet2!$A$2:$D$31,4,0)</f>
        <v>#N/A</v>
      </c>
      <c r="E118" s="48" t="e">
        <f>VLOOKUP(F118,Sheet2!$A$2:$D$31,2,0)</f>
        <v>#N/A</v>
      </c>
      <c r="F118" s="48"/>
      <c r="G118" s="49"/>
      <c r="H118" s="50" t="e">
        <f>VLOOKUP(F118,Sheet2!$A$2:$D$31,3,0)</f>
        <v>#N/A</v>
      </c>
      <c r="I118" s="68"/>
      <c r="J118" s="95"/>
      <c r="K118" s="96" t="e">
        <f t="shared" si="11"/>
        <v>#DIV/0!</v>
      </c>
      <c r="L118" s="104"/>
      <c r="M118" s="103"/>
      <c r="N118" s="103"/>
      <c r="O118" s="103"/>
      <c r="P118" s="70"/>
      <c r="Q118" s="58"/>
    </row>
    <row r="119" spans="1:17" s="6" customFormat="1" ht="18" hidden="1" customHeight="1">
      <c r="A119" s="30"/>
      <c r="B119" s="46"/>
      <c r="C119" s="94" t="e">
        <f t="shared" si="10"/>
        <v>#N/A</v>
      </c>
      <c r="D119" s="47" t="e">
        <f>VLOOKUP(F119,Sheet2!$A$2:$D$31,4,0)</f>
        <v>#N/A</v>
      </c>
      <c r="E119" s="48" t="e">
        <f>VLOOKUP(F119,Sheet2!$A$2:$D$31,2,0)</f>
        <v>#N/A</v>
      </c>
      <c r="F119" s="48"/>
      <c r="G119" s="49"/>
      <c r="H119" s="50" t="e">
        <f>VLOOKUP(F119,Sheet2!$A$2:$D$31,3,0)</f>
        <v>#N/A</v>
      </c>
      <c r="I119" s="68"/>
      <c r="J119" s="69"/>
      <c r="K119" s="96" t="e">
        <f t="shared" si="11"/>
        <v>#DIV/0!</v>
      </c>
      <c r="L119" s="104"/>
      <c r="M119" s="73"/>
      <c r="N119" s="103"/>
      <c r="O119" s="103"/>
      <c r="P119" s="70"/>
      <c r="Q119" s="58"/>
    </row>
    <row r="120" spans="1:17" s="6" customFormat="1" ht="18" hidden="1" customHeight="1">
      <c r="A120" s="30"/>
      <c r="B120" s="46"/>
      <c r="C120" s="94" t="e">
        <f t="shared" si="10"/>
        <v>#N/A</v>
      </c>
      <c r="D120" s="47" t="e">
        <f>VLOOKUP(F120,Sheet2!$A$2:$D$31,4,0)</f>
        <v>#N/A</v>
      </c>
      <c r="E120" s="48" t="e">
        <f>VLOOKUP(F120,Sheet2!$A$2:$D$31,2,0)</f>
        <v>#N/A</v>
      </c>
      <c r="F120" s="48"/>
      <c r="G120" s="49"/>
      <c r="H120" s="50" t="e">
        <f>VLOOKUP(F120,Sheet2!$A$2:$D$31,3,0)</f>
        <v>#N/A</v>
      </c>
      <c r="I120" s="68"/>
      <c r="J120" s="95"/>
      <c r="K120" s="96" t="e">
        <f t="shared" si="11"/>
        <v>#DIV/0!</v>
      </c>
      <c r="L120" s="104"/>
      <c r="M120" s="103"/>
      <c r="N120" s="103"/>
      <c r="O120" s="103"/>
      <c r="P120" s="70"/>
      <c r="Q120" s="58"/>
    </row>
    <row r="121" spans="1:17" s="6" customFormat="1" ht="18" hidden="1" customHeight="1">
      <c r="A121" s="30"/>
      <c r="B121" s="46"/>
      <c r="C121" s="94" t="e">
        <f t="shared" si="10"/>
        <v>#N/A</v>
      </c>
      <c r="D121" s="47" t="e">
        <f>VLOOKUP(F121,Sheet2!$A$2:$D$31,4,0)</f>
        <v>#N/A</v>
      </c>
      <c r="E121" s="48" t="e">
        <f>VLOOKUP(F121,Sheet2!$A$2:$D$31,2,0)</f>
        <v>#N/A</v>
      </c>
      <c r="F121" s="48"/>
      <c r="G121" s="49"/>
      <c r="H121" s="50" t="e">
        <f>VLOOKUP(F121,Sheet2!$A$2:$D$31,3,0)</f>
        <v>#N/A</v>
      </c>
      <c r="I121" s="68"/>
      <c r="J121" s="95"/>
      <c r="K121" s="96" t="e">
        <f t="shared" si="11"/>
        <v>#DIV/0!</v>
      </c>
      <c r="L121" s="104"/>
      <c r="M121" s="103"/>
      <c r="N121" s="103"/>
      <c r="O121" s="103"/>
      <c r="P121" s="70"/>
      <c r="Q121" s="58"/>
    </row>
    <row r="122" spans="1:17" s="6" customFormat="1" ht="18" hidden="1" customHeight="1">
      <c r="A122" s="30"/>
      <c r="B122" s="46"/>
      <c r="C122" s="94" t="e">
        <f t="shared" si="10"/>
        <v>#N/A</v>
      </c>
      <c r="D122" s="47" t="e">
        <f>VLOOKUP(F122,Sheet2!$A$2:$D$31,4,0)</f>
        <v>#N/A</v>
      </c>
      <c r="E122" s="48" t="e">
        <f>VLOOKUP(F122,Sheet2!$A$2:$D$31,2,0)</f>
        <v>#N/A</v>
      </c>
      <c r="F122" s="48"/>
      <c r="G122" s="49"/>
      <c r="H122" s="50" t="e">
        <f>VLOOKUP(F122,Sheet2!$A$2:$D$31,3,0)</f>
        <v>#N/A</v>
      </c>
      <c r="I122" s="68"/>
      <c r="J122" s="95"/>
      <c r="K122" s="96" t="e">
        <f t="shared" si="11"/>
        <v>#DIV/0!</v>
      </c>
      <c r="L122" s="104"/>
      <c r="M122" s="103"/>
      <c r="N122" s="103"/>
      <c r="O122" s="103"/>
      <c r="P122" s="70"/>
      <c r="Q122" s="58"/>
    </row>
    <row r="123" spans="1:17" s="6" customFormat="1" ht="18" hidden="1" customHeight="1">
      <c r="A123" s="30"/>
      <c r="B123" s="46"/>
      <c r="C123" s="94" t="e">
        <f t="shared" si="10"/>
        <v>#N/A</v>
      </c>
      <c r="D123" s="47" t="e">
        <f>VLOOKUP(F123,Sheet2!$A$2:$D$31,4,0)</f>
        <v>#N/A</v>
      </c>
      <c r="E123" s="48" t="e">
        <f>VLOOKUP(F123,Sheet2!$A$2:$D$31,2,0)</f>
        <v>#N/A</v>
      </c>
      <c r="F123" s="48"/>
      <c r="G123" s="49"/>
      <c r="H123" s="50" t="e">
        <f>VLOOKUP(F123,Sheet2!$A$2:$D$31,3,0)</f>
        <v>#N/A</v>
      </c>
      <c r="I123" s="68"/>
      <c r="J123" s="95"/>
      <c r="K123" s="96" t="e">
        <f t="shared" si="11"/>
        <v>#DIV/0!</v>
      </c>
      <c r="L123" s="104"/>
      <c r="M123" s="103"/>
      <c r="N123" s="103"/>
      <c r="O123" s="103"/>
      <c r="P123" s="70"/>
      <c r="Q123" s="58"/>
    </row>
    <row r="124" spans="1:17" s="6" customFormat="1" ht="18" hidden="1" customHeight="1">
      <c r="A124" s="30"/>
      <c r="B124" s="46"/>
      <c r="C124" s="94" t="e">
        <f t="shared" si="10"/>
        <v>#N/A</v>
      </c>
      <c r="D124" s="47" t="e">
        <f>VLOOKUP(F124,Sheet2!$A$2:$D$31,4,0)</f>
        <v>#N/A</v>
      </c>
      <c r="E124" s="48" t="e">
        <f>VLOOKUP(F124,Sheet2!$A$2:$D$31,2,0)</f>
        <v>#N/A</v>
      </c>
      <c r="F124" s="48"/>
      <c r="G124" s="49"/>
      <c r="H124" s="50" t="e">
        <f>VLOOKUP(F124,Sheet2!$A$2:$D$31,3,0)</f>
        <v>#N/A</v>
      </c>
      <c r="I124" s="68"/>
      <c r="J124" s="95"/>
      <c r="K124" s="96" t="e">
        <f t="shared" si="11"/>
        <v>#DIV/0!</v>
      </c>
      <c r="L124" s="104"/>
      <c r="M124" s="103"/>
      <c r="N124" s="103"/>
      <c r="O124" s="103"/>
      <c r="P124" s="70"/>
      <c r="Q124" s="58"/>
    </row>
    <row r="125" spans="1:17" s="6" customFormat="1" ht="18" hidden="1" customHeight="1">
      <c r="A125" s="30"/>
      <c r="B125" s="46"/>
      <c r="C125" s="94" t="e">
        <f t="shared" si="10"/>
        <v>#N/A</v>
      </c>
      <c r="D125" s="47" t="e">
        <f>VLOOKUP(F125,Sheet2!$A$2:$D$31,4,0)</f>
        <v>#N/A</v>
      </c>
      <c r="E125" s="48" t="e">
        <f>VLOOKUP(F125,Sheet2!$A$2:$D$31,2,0)</f>
        <v>#N/A</v>
      </c>
      <c r="F125" s="48"/>
      <c r="G125" s="49"/>
      <c r="H125" s="50" t="e">
        <f>VLOOKUP(F125,Sheet2!$A$2:$D$31,3,0)</f>
        <v>#N/A</v>
      </c>
      <c r="I125" s="68"/>
      <c r="J125" s="95"/>
      <c r="K125" s="96" t="e">
        <f t="shared" si="11"/>
        <v>#DIV/0!</v>
      </c>
      <c r="L125" s="104"/>
      <c r="M125" s="103"/>
      <c r="N125" s="103"/>
      <c r="O125" s="103"/>
      <c r="P125" s="70"/>
      <c r="Q125" s="58"/>
    </row>
    <row r="126" spans="1:17" s="6" customFormat="1" ht="18" hidden="1" customHeight="1">
      <c r="A126" s="30"/>
      <c r="B126" s="46"/>
      <c r="C126" s="94" t="e">
        <f t="shared" si="10"/>
        <v>#N/A</v>
      </c>
      <c r="D126" s="47" t="e">
        <f>VLOOKUP(F126,Sheet2!$A$2:$D$31,4,0)</f>
        <v>#N/A</v>
      </c>
      <c r="E126" s="48" t="e">
        <f>VLOOKUP(F126,Sheet2!$A$2:$D$31,2,0)</f>
        <v>#N/A</v>
      </c>
      <c r="F126" s="48"/>
      <c r="G126" s="49"/>
      <c r="H126" s="50" t="e">
        <f>VLOOKUP(F126,Sheet2!$A$2:$D$31,3,0)</f>
        <v>#N/A</v>
      </c>
      <c r="I126" s="68"/>
      <c r="J126" s="95"/>
      <c r="K126" s="96" t="e">
        <f t="shared" si="11"/>
        <v>#DIV/0!</v>
      </c>
      <c r="L126" s="104"/>
      <c r="M126" s="103"/>
      <c r="N126" s="103"/>
      <c r="O126" s="103"/>
      <c r="P126" s="70"/>
      <c r="Q126" s="58"/>
    </row>
    <row r="127" spans="1:17" s="6" customFormat="1" ht="18" hidden="1" customHeight="1">
      <c r="A127" s="30"/>
      <c r="B127" s="46"/>
      <c r="C127" s="94" t="e">
        <f t="shared" si="10"/>
        <v>#N/A</v>
      </c>
      <c r="D127" s="47" t="e">
        <f>VLOOKUP(F127,Sheet2!$A$2:$D$31,4,0)</f>
        <v>#N/A</v>
      </c>
      <c r="E127" s="48" t="e">
        <f>VLOOKUP(F127,Sheet2!$A$2:$D$31,2,0)</f>
        <v>#N/A</v>
      </c>
      <c r="F127" s="48"/>
      <c r="G127" s="49"/>
      <c r="H127" s="50" t="e">
        <f>VLOOKUP(F127,Sheet2!$A$2:$D$31,3,0)</f>
        <v>#N/A</v>
      </c>
      <c r="I127" s="68"/>
      <c r="J127" s="95"/>
      <c r="K127" s="96" t="e">
        <f t="shared" si="11"/>
        <v>#DIV/0!</v>
      </c>
      <c r="L127" s="104"/>
      <c r="M127" s="103"/>
      <c r="N127" s="103"/>
      <c r="O127" s="103"/>
      <c r="P127" s="70"/>
      <c r="Q127" s="58"/>
    </row>
    <row r="128" spans="1:17" s="6" customFormat="1" ht="18" hidden="1" customHeight="1">
      <c r="A128" s="30"/>
      <c r="B128" s="46"/>
      <c r="C128" s="94" t="e">
        <f t="shared" si="10"/>
        <v>#N/A</v>
      </c>
      <c r="D128" s="47" t="e">
        <f>VLOOKUP(F128,Sheet2!$A$2:$D$31,4,0)</f>
        <v>#N/A</v>
      </c>
      <c r="E128" s="48" t="e">
        <f>VLOOKUP(F128,Sheet2!$A$2:$D$31,2,0)</f>
        <v>#N/A</v>
      </c>
      <c r="F128" s="48"/>
      <c r="G128" s="49"/>
      <c r="H128" s="50" t="e">
        <f>VLOOKUP(F128,Sheet2!$A$2:$D$31,3,0)</f>
        <v>#N/A</v>
      </c>
      <c r="I128" s="68"/>
      <c r="J128" s="69"/>
      <c r="K128" s="96" t="e">
        <f t="shared" si="11"/>
        <v>#DIV/0!</v>
      </c>
      <c r="L128" s="104"/>
      <c r="M128" s="73"/>
      <c r="N128" s="103"/>
      <c r="O128" s="103"/>
      <c r="P128" s="70"/>
      <c r="Q128" s="58"/>
    </row>
    <row r="129" spans="1:17" s="6" customFormat="1" ht="18" hidden="1" customHeight="1">
      <c r="A129" s="30"/>
      <c r="B129" s="46"/>
      <c r="C129" s="94" t="e">
        <f t="shared" si="10"/>
        <v>#N/A</v>
      </c>
      <c r="D129" s="47" t="e">
        <f>VLOOKUP(F129,Sheet2!$A$2:$D$31,4,0)</f>
        <v>#N/A</v>
      </c>
      <c r="E129" s="48" t="e">
        <f>VLOOKUP(F129,Sheet2!$A$2:$D$31,2,0)</f>
        <v>#N/A</v>
      </c>
      <c r="F129" s="48"/>
      <c r="G129" s="49"/>
      <c r="H129" s="50" t="e">
        <f>VLOOKUP(F129,Sheet2!$A$2:$D$31,3,0)</f>
        <v>#N/A</v>
      </c>
      <c r="I129" s="68"/>
      <c r="J129" s="69"/>
      <c r="K129" s="96" t="e">
        <f t="shared" si="11"/>
        <v>#DIV/0!</v>
      </c>
      <c r="L129" s="104"/>
      <c r="M129" s="73"/>
      <c r="N129" s="103"/>
      <c r="O129" s="103"/>
      <c r="P129" s="70"/>
      <c r="Q129" s="58"/>
    </row>
    <row r="130" spans="1:17" s="6" customFormat="1" ht="18" hidden="1" customHeight="1">
      <c r="A130" s="30"/>
      <c r="B130" s="46"/>
      <c r="C130" s="94" t="e">
        <f t="shared" si="10"/>
        <v>#N/A</v>
      </c>
      <c r="D130" s="47" t="e">
        <f>VLOOKUP(F130,Sheet2!$A$2:$D$31,4,0)</f>
        <v>#N/A</v>
      </c>
      <c r="E130" s="48" t="e">
        <f>VLOOKUP(F130,Sheet2!$A$2:$D$31,2,0)</f>
        <v>#N/A</v>
      </c>
      <c r="F130" s="48"/>
      <c r="G130" s="49"/>
      <c r="H130" s="50" t="e">
        <f>VLOOKUP(F130,Sheet2!$A$2:$D$31,3,0)</f>
        <v>#N/A</v>
      </c>
      <c r="I130" s="68"/>
      <c r="J130" s="95"/>
      <c r="K130" s="96" t="e">
        <f t="shared" si="11"/>
        <v>#DIV/0!</v>
      </c>
      <c r="L130" s="104"/>
      <c r="M130" s="103"/>
      <c r="N130" s="103"/>
      <c r="O130" s="103"/>
      <c r="P130" s="70"/>
      <c r="Q130" s="58"/>
    </row>
    <row r="131" spans="1:17" s="6" customFormat="1" ht="18" hidden="1" customHeight="1">
      <c r="A131" s="30"/>
      <c r="B131" s="46"/>
      <c r="C131" s="94" t="e">
        <f t="shared" si="10"/>
        <v>#N/A</v>
      </c>
      <c r="D131" s="47" t="e">
        <f>VLOOKUP(F131,Sheet2!$A$2:$D$31,4,0)</f>
        <v>#N/A</v>
      </c>
      <c r="E131" s="48" t="e">
        <f>VLOOKUP(F131,Sheet2!$A$2:$D$31,2,0)</f>
        <v>#N/A</v>
      </c>
      <c r="F131" s="48"/>
      <c r="G131" s="49"/>
      <c r="H131" s="50" t="e">
        <f>VLOOKUP(F131,Sheet2!$A$2:$D$31,3,0)</f>
        <v>#N/A</v>
      </c>
      <c r="I131" s="68"/>
      <c r="J131" s="95"/>
      <c r="K131" s="96" t="e">
        <f t="shared" si="11"/>
        <v>#DIV/0!</v>
      </c>
      <c r="L131" s="104"/>
      <c r="M131" s="103"/>
      <c r="N131" s="103"/>
      <c r="O131" s="103"/>
      <c r="P131" s="70"/>
      <c r="Q131" s="58"/>
    </row>
    <row r="132" spans="1:17" s="6" customFormat="1" ht="18" hidden="1" customHeight="1">
      <c r="A132" s="30"/>
      <c r="B132" s="46"/>
      <c r="C132" s="94" t="e">
        <f t="shared" si="10"/>
        <v>#N/A</v>
      </c>
      <c r="D132" s="47" t="e">
        <f>VLOOKUP(F132,Sheet2!$A$2:$D$31,4,0)</f>
        <v>#N/A</v>
      </c>
      <c r="E132" s="48" t="e">
        <f>VLOOKUP(F132,Sheet2!$A$2:$D$31,2,0)</f>
        <v>#N/A</v>
      </c>
      <c r="F132" s="48"/>
      <c r="G132" s="49"/>
      <c r="H132" s="50" t="e">
        <f>VLOOKUP(F132,Sheet2!$A$2:$D$31,3,0)</f>
        <v>#N/A</v>
      </c>
      <c r="I132" s="68"/>
      <c r="J132" s="95"/>
      <c r="K132" s="96" t="e">
        <f t="shared" si="11"/>
        <v>#DIV/0!</v>
      </c>
      <c r="L132" s="104"/>
      <c r="M132" s="103"/>
      <c r="N132" s="103"/>
      <c r="O132" s="103"/>
      <c r="P132" s="70"/>
      <c r="Q132" s="58"/>
    </row>
    <row r="133" spans="1:17" s="6" customFormat="1" ht="18" hidden="1" customHeight="1">
      <c r="A133" s="30"/>
      <c r="B133" s="46"/>
      <c r="C133" s="94" t="e">
        <f t="shared" si="10"/>
        <v>#N/A</v>
      </c>
      <c r="D133" s="47" t="e">
        <f>VLOOKUP(F133,Sheet2!$A$2:$D$31,4,0)</f>
        <v>#N/A</v>
      </c>
      <c r="E133" s="48" t="e">
        <f>VLOOKUP(F133,Sheet2!$A$2:$D$31,2,0)</f>
        <v>#N/A</v>
      </c>
      <c r="F133" s="48"/>
      <c r="G133" s="49"/>
      <c r="H133" s="50" t="e">
        <f>VLOOKUP(F133,Sheet2!$A$2:$D$31,3,0)</f>
        <v>#N/A</v>
      </c>
      <c r="I133" s="68"/>
      <c r="J133" s="95"/>
      <c r="K133" s="96" t="e">
        <f t="shared" si="11"/>
        <v>#DIV/0!</v>
      </c>
      <c r="L133" s="104"/>
      <c r="M133" s="103"/>
      <c r="N133" s="103"/>
      <c r="O133" s="103"/>
      <c r="P133" s="70"/>
      <c r="Q133" s="58"/>
    </row>
    <row r="134" spans="1:17" s="6" customFormat="1" ht="18" hidden="1" customHeight="1">
      <c r="A134" s="30"/>
      <c r="B134" s="46"/>
      <c r="C134" s="94" t="e">
        <f t="shared" si="10"/>
        <v>#N/A</v>
      </c>
      <c r="D134" s="47" t="e">
        <f>VLOOKUP(F134,Sheet2!$A$2:$D$31,4,0)</f>
        <v>#N/A</v>
      </c>
      <c r="E134" s="48" t="e">
        <f>VLOOKUP(F134,Sheet2!$A$2:$D$31,2,0)</f>
        <v>#N/A</v>
      </c>
      <c r="F134" s="48"/>
      <c r="G134" s="49"/>
      <c r="H134" s="50" t="e">
        <f>VLOOKUP(F134,Sheet2!$A$2:$D$31,3,0)</f>
        <v>#N/A</v>
      </c>
      <c r="I134" s="68"/>
      <c r="J134" s="69"/>
      <c r="K134" s="96" t="e">
        <f t="shared" si="11"/>
        <v>#DIV/0!</v>
      </c>
      <c r="L134" s="104"/>
      <c r="M134" s="73"/>
      <c r="N134" s="103"/>
      <c r="O134" s="103"/>
      <c r="P134" s="70"/>
      <c r="Q134" s="58"/>
    </row>
    <row r="135" spans="1:17" s="6" customFormat="1" ht="18" hidden="1" customHeight="1">
      <c r="A135" s="30"/>
      <c r="B135" s="46"/>
      <c r="C135" s="94" t="e">
        <f t="shared" si="10"/>
        <v>#N/A</v>
      </c>
      <c r="D135" s="47" t="e">
        <f>VLOOKUP(F135,Sheet2!$A$2:$D$31,4,0)</f>
        <v>#N/A</v>
      </c>
      <c r="E135" s="48" t="e">
        <f>VLOOKUP(F135,Sheet2!$A$2:$D$31,2,0)</f>
        <v>#N/A</v>
      </c>
      <c r="F135" s="48"/>
      <c r="G135" s="49"/>
      <c r="H135" s="50" t="e">
        <f>VLOOKUP(F135,Sheet2!$A$2:$D$31,3,0)</f>
        <v>#N/A</v>
      </c>
      <c r="I135" s="68"/>
      <c r="J135" s="95"/>
      <c r="K135" s="96" t="e">
        <f t="shared" si="11"/>
        <v>#DIV/0!</v>
      </c>
      <c r="L135" s="104"/>
      <c r="M135" s="103"/>
      <c r="N135" s="103"/>
      <c r="O135" s="103"/>
      <c r="P135" s="70"/>
      <c r="Q135" s="58"/>
    </row>
    <row r="136" spans="1:17" s="6" customFormat="1" ht="18" hidden="1" customHeight="1">
      <c r="A136" s="30"/>
      <c r="B136" s="46"/>
      <c r="C136" s="94" t="e">
        <f t="shared" si="10"/>
        <v>#N/A</v>
      </c>
      <c r="D136" s="47" t="e">
        <f>VLOOKUP(F136,Sheet2!$A$2:$D$31,4,0)</f>
        <v>#N/A</v>
      </c>
      <c r="E136" s="48" t="e">
        <f>VLOOKUP(F136,Sheet2!$A$2:$D$31,2,0)</f>
        <v>#N/A</v>
      </c>
      <c r="F136" s="48"/>
      <c r="G136" s="49"/>
      <c r="H136" s="50" t="e">
        <f>VLOOKUP(F136,Sheet2!$A$2:$D$31,3,0)</f>
        <v>#N/A</v>
      </c>
      <c r="I136" s="68"/>
      <c r="J136" s="95"/>
      <c r="K136" s="96" t="e">
        <f t="shared" si="11"/>
        <v>#DIV/0!</v>
      </c>
      <c r="L136" s="104"/>
      <c r="M136" s="103"/>
      <c r="N136" s="103"/>
      <c r="O136" s="103"/>
      <c r="P136" s="70"/>
      <c r="Q136" s="58"/>
    </row>
    <row r="137" spans="1:17" s="6" customFormat="1" ht="22.5" hidden="1" customHeight="1" thickBot="1">
      <c r="A137" s="30"/>
      <c r="B137" s="51"/>
      <c r="C137" s="99"/>
      <c r="D137" s="52"/>
      <c r="E137" s="53" t="s">
        <v>38</v>
      </c>
      <c r="F137" s="53"/>
      <c r="G137" s="54">
        <f>SUM(G117:G136)</f>
        <v>0</v>
      </c>
      <c r="H137" s="55"/>
      <c r="I137" s="71">
        <f>SUM(I117:I136)</f>
        <v>0</v>
      </c>
      <c r="J137" s="72">
        <f>SUM(J117:J136)</f>
        <v>0</v>
      </c>
      <c r="K137" s="71"/>
      <c r="L137" s="100">
        <f>SUM(L117:L136)</f>
        <v>0</v>
      </c>
      <c r="M137" s="101">
        <f>SUM(M117:M136)</f>
        <v>0</v>
      </c>
      <c r="N137" s="101"/>
      <c r="O137" s="101"/>
      <c r="P137" s="101">
        <f>SUM(P117:P136)</f>
        <v>0</v>
      </c>
      <c r="Q137" s="58"/>
    </row>
    <row r="138" spans="1:17" s="6" customFormat="1" ht="15.5" hidden="1">
      <c r="A138" s="30"/>
      <c r="B138" s="105"/>
      <c r="C138" s="106"/>
      <c r="D138" s="105"/>
      <c r="E138" s="76"/>
      <c r="F138" s="76"/>
      <c r="G138" s="87"/>
      <c r="H138" s="88"/>
      <c r="I138" s="82"/>
      <c r="J138" s="82"/>
      <c r="K138" s="107"/>
      <c r="L138" s="107"/>
      <c r="M138" s="107"/>
      <c r="N138" s="107"/>
      <c r="O138" s="107"/>
      <c r="P138" s="66"/>
      <c r="Q138" s="58"/>
    </row>
    <row r="139" spans="1:17" s="6" customFormat="1" ht="25.5" hidden="1" customHeight="1" thickBot="1">
      <c r="A139" s="30"/>
      <c r="B139" s="40" t="s">
        <v>115</v>
      </c>
      <c r="C139" s="397"/>
      <c r="D139" s="41"/>
      <c r="E139" s="21"/>
      <c r="F139" s="21"/>
      <c r="G139" s="21"/>
      <c r="H139" s="21"/>
      <c r="I139" s="63"/>
      <c r="J139" s="393"/>
      <c r="K139" s="64"/>
      <c r="L139" s="64"/>
      <c r="M139" s="65"/>
      <c r="N139" s="65"/>
      <c r="O139" s="65"/>
      <c r="P139" s="66"/>
      <c r="Q139" s="58"/>
    </row>
    <row r="140" spans="1:17" s="6" customFormat="1" ht="39" hidden="1" customHeight="1">
      <c r="A140" s="42"/>
      <c r="B140" s="43" t="s">
        <v>27</v>
      </c>
      <c r="C140" s="44" t="s">
        <v>28</v>
      </c>
      <c r="D140" s="44" t="s">
        <v>29</v>
      </c>
      <c r="E140" s="394" t="s">
        <v>30</v>
      </c>
      <c r="F140" s="394" t="s">
        <v>31</v>
      </c>
      <c r="G140" s="414" t="s">
        <v>32</v>
      </c>
      <c r="H140" s="414"/>
      <c r="I140" s="394" t="s">
        <v>33</v>
      </c>
      <c r="J140" s="67" t="s">
        <v>34</v>
      </c>
      <c r="K140" s="92" t="s">
        <v>35</v>
      </c>
      <c r="L140" s="92" t="s">
        <v>36</v>
      </c>
      <c r="M140" s="93" t="s">
        <v>37</v>
      </c>
      <c r="N140" s="93"/>
      <c r="O140" s="93"/>
      <c r="P140" s="93" t="s">
        <v>120</v>
      </c>
      <c r="Q140" s="58"/>
    </row>
    <row r="141" spans="1:17" s="6" customFormat="1" ht="18" hidden="1" customHeight="1">
      <c r="A141" s="30"/>
      <c r="B141" s="46"/>
      <c r="C141" s="94" t="e">
        <f t="shared" ref="C141:C160" si="12">CONCATENATE("MFGG","-",MID(E141,1,3),MID(E141,10,1),"-","IDD")</f>
        <v>#N/A</v>
      </c>
      <c r="D141" s="47" t="e">
        <f>VLOOKUP(F141,Sheet2!$A$2:$D$31,4,0)</f>
        <v>#N/A</v>
      </c>
      <c r="E141" s="48" t="e">
        <f>VLOOKUP(F141,Sheet2!$A$2:$D$31,2,0)</f>
        <v>#N/A</v>
      </c>
      <c r="F141" s="48"/>
      <c r="G141" s="49"/>
      <c r="H141" s="50" t="e">
        <f>VLOOKUP(F141,Sheet2!$A$2:$D$31,3,0)</f>
        <v>#N/A</v>
      </c>
      <c r="I141" s="68"/>
      <c r="J141" s="95"/>
      <c r="K141" s="96" t="e">
        <f t="shared" ref="K141:K160" si="13">L141/G141</f>
        <v>#DIV/0!</v>
      </c>
      <c r="L141" s="104"/>
      <c r="M141" s="103"/>
      <c r="N141" s="103"/>
      <c r="O141" s="103"/>
      <c r="P141" s="70"/>
      <c r="Q141" s="58"/>
    </row>
    <row r="142" spans="1:17" s="6" customFormat="1" ht="18" hidden="1" customHeight="1">
      <c r="A142" s="30"/>
      <c r="B142" s="46"/>
      <c r="C142" s="94" t="e">
        <f t="shared" si="12"/>
        <v>#N/A</v>
      </c>
      <c r="D142" s="47" t="e">
        <f>VLOOKUP(F142,Sheet2!$A$2:$D$31,4,0)</f>
        <v>#N/A</v>
      </c>
      <c r="E142" s="48" t="e">
        <f>VLOOKUP(F142,Sheet2!$A$2:$D$31,2,0)</f>
        <v>#N/A</v>
      </c>
      <c r="F142" s="48"/>
      <c r="G142" s="49"/>
      <c r="H142" s="50" t="e">
        <f>VLOOKUP(F142,Sheet2!$A$2:$D$31,3,0)</f>
        <v>#N/A</v>
      </c>
      <c r="I142" s="68"/>
      <c r="J142" s="95"/>
      <c r="K142" s="96" t="e">
        <f t="shared" si="13"/>
        <v>#DIV/0!</v>
      </c>
      <c r="L142" s="104"/>
      <c r="M142" s="103"/>
      <c r="N142" s="103"/>
      <c r="O142" s="103"/>
      <c r="P142" s="70"/>
      <c r="Q142" s="58"/>
    </row>
    <row r="143" spans="1:17" s="6" customFormat="1" ht="18" hidden="1" customHeight="1">
      <c r="A143" s="30"/>
      <c r="B143" s="46"/>
      <c r="C143" s="94" t="e">
        <f t="shared" si="12"/>
        <v>#N/A</v>
      </c>
      <c r="D143" s="47" t="e">
        <f>VLOOKUP(F143,Sheet2!$A$2:$D$31,4,0)</f>
        <v>#N/A</v>
      </c>
      <c r="E143" s="48" t="e">
        <f>VLOOKUP(F143,Sheet2!$A$2:$D$31,2,0)</f>
        <v>#N/A</v>
      </c>
      <c r="F143" s="48"/>
      <c r="G143" s="49"/>
      <c r="H143" s="50" t="e">
        <f>VLOOKUP(F143,Sheet2!$A$2:$D$31,3,0)</f>
        <v>#N/A</v>
      </c>
      <c r="I143" s="68"/>
      <c r="J143" s="69"/>
      <c r="K143" s="96" t="e">
        <f t="shared" si="13"/>
        <v>#DIV/0!</v>
      </c>
      <c r="L143" s="104"/>
      <c r="M143" s="73"/>
      <c r="N143" s="103"/>
      <c r="O143" s="103"/>
      <c r="P143" s="70"/>
      <c r="Q143" s="58"/>
    </row>
    <row r="144" spans="1:17" s="6" customFormat="1" ht="18" hidden="1" customHeight="1">
      <c r="A144" s="30"/>
      <c r="B144" s="46"/>
      <c r="C144" s="94" t="e">
        <f t="shared" si="12"/>
        <v>#N/A</v>
      </c>
      <c r="D144" s="47" t="e">
        <f>VLOOKUP(F144,Sheet2!$A$2:$D$31,4,0)</f>
        <v>#N/A</v>
      </c>
      <c r="E144" s="48" t="e">
        <f>VLOOKUP(F144,Sheet2!$A$2:$D$31,2,0)</f>
        <v>#N/A</v>
      </c>
      <c r="F144" s="48"/>
      <c r="G144" s="49"/>
      <c r="H144" s="50" t="e">
        <f>VLOOKUP(F144,Sheet2!$A$2:$D$31,3,0)</f>
        <v>#N/A</v>
      </c>
      <c r="I144" s="68"/>
      <c r="J144" s="95"/>
      <c r="K144" s="96" t="e">
        <f t="shared" si="13"/>
        <v>#DIV/0!</v>
      </c>
      <c r="L144" s="104"/>
      <c r="M144" s="103"/>
      <c r="N144" s="103"/>
      <c r="O144" s="103"/>
      <c r="P144" s="70"/>
      <c r="Q144" s="58"/>
    </row>
    <row r="145" spans="1:17" s="6" customFormat="1" ht="18" hidden="1" customHeight="1">
      <c r="A145" s="30"/>
      <c r="B145" s="46"/>
      <c r="C145" s="94" t="e">
        <f t="shared" si="12"/>
        <v>#N/A</v>
      </c>
      <c r="D145" s="47" t="e">
        <f>VLOOKUP(F145,Sheet2!$A$2:$D$31,4,0)</f>
        <v>#N/A</v>
      </c>
      <c r="E145" s="48" t="e">
        <f>VLOOKUP(F145,Sheet2!$A$2:$D$31,2,0)</f>
        <v>#N/A</v>
      </c>
      <c r="F145" s="48"/>
      <c r="G145" s="49"/>
      <c r="H145" s="50" t="e">
        <f>VLOOKUP(F145,Sheet2!$A$2:$D$31,3,0)</f>
        <v>#N/A</v>
      </c>
      <c r="I145" s="68"/>
      <c r="J145" s="95"/>
      <c r="K145" s="96" t="e">
        <f t="shared" si="13"/>
        <v>#DIV/0!</v>
      </c>
      <c r="L145" s="104"/>
      <c r="M145" s="103"/>
      <c r="N145" s="103"/>
      <c r="O145" s="103"/>
      <c r="P145" s="70"/>
      <c r="Q145" s="58"/>
    </row>
    <row r="146" spans="1:17" s="6" customFormat="1" ht="18" hidden="1" customHeight="1">
      <c r="A146" s="30"/>
      <c r="B146" s="46"/>
      <c r="C146" s="94" t="e">
        <f t="shared" si="12"/>
        <v>#N/A</v>
      </c>
      <c r="D146" s="47" t="e">
        <f>VLOOKUP(F146,Sheet2!$A$2:$D$31,4,0)</f>
        <v>#N/A</v>
      </c>
      <c r="E146" s="48" t="e">
        <f>VLOOKUP(F146,Sheet2!$A$2:$D$31,2,0)</f>
        <v>#N/A</v>
      </c>
      <c r="F146" s="48"/>
      <c r="G146" s="49"/>
      <c r="H146" s="50" t="e">
        <f>VLOOKUP(F146,Sheet2!$A$2:$D$31,3,0)</f>
        <v>#N/A</v>
      </c>
      <c r="I146" s="68"/>
      <c r="J146" s="95"/>
      <c r="K146" s="96" t="e">
        <f t="shared" si="13"/>
        <v>#DIV/0!</v>
      </c>
      <c r="L146" s="104"/>
      <c r="M146" s="103"/>
      <c r="N146" s="103"/>
      <c r="O146" s="103"/>
      <c r="P146" s="70"/>
      <c r="Q146" s="58"/>
    </row>
    <row r="147" spans="1:17" s="6" customFormat="1" ht="18" hidden="1" customHeight="1">
      <c r="A147" s="30"/>
      <c r="B147" s="46"/>
      <c r="C147" s="94" t="e">
        <f t="shared" si="12"/>
        <v>#N/A</v>
      </c>
      <c r="D147" s="47" t="e">
        <f>VLOOKUP(F147,Sheet2!$A$2:$D$31,4,0)</f>
        <v>#N/A</v>
      </c>
      <c r="E147" s="48" t="e">
        <f>VLOOKUP(F147,Sheet2!$A$2:$D$31,2,0)</f>
        <v>#N/A</v>
      </c>
      <c r="F147" s="48"/>
      <c r="G147" s="49"/>
      <c r="H147" s="50" t="e">
        <f>VLOOKUP(F147,Sheet2!$A$2:$D$31,3,0)</f>
        <v>#N/A</v>
      </c>
      <c r="I147" s="68"/>
      <c r="J147" s="95"/>
      <c r="K147" s="96" t="e">
        <f t="shared" si="13"/>
        <v>#DIV/0!</v>
      </c>
      <c r="L147" s="104"/>
      <c r="M147" s="103"/>
      <c r="N147" s="103"/>
      <c r="O147" s="103"/>
      <c r="P147" s="70"/>
      <c r="Q147" s="58"/>
    </row>
    <row r="148" spans="1:17" s="6" customFormat="1" ht="18" hidden="1" customHeight="1">
      <c r="A148" s="30"/>
      <c r="B148" s="46"/>
      <c r="C148" s="94" t="e">
        <f t="shared" si="12"/>
        <v>#N/A</v>
      </c>
      <c r="D148" s="47" t="e">
        <f>VLOOKUP(F148,Sheet2!$A$2:$D$31,4,0)</f>
        <v>#N/A</v>
      </c>
      <c r="E148" s="48" t="e">
        <f>VLOOKUP(F148,Sheet2!$A$2:$D$31,2,0)</f>
        <v>#N/A</v>
      </c>
      <c r="F148" s="48"/>
      <c r="G148" s="49"/>
      <c r="H148" s="50" t="e">
        <f>VLOOKUP(F148,Sheet2!$A$2:$D$31,3,0)</f>
        <v>#N/A</v>
      </c>
      <c r="I148" s="68"/>
      <c r="J148" s="95"/>
      <c r="K148" s="96" t="e">
        <f t="shared" si="13"/>
        <v>#DIV/0!</v>
      </c>
      <c r="L148" s="104"/>
      <c r="M148" s="103"/>
      <c r="N148" s="103"/>
      <c r="O148" s="103"/>
      <c r="P148" s="70"/>
      <c r="Q148" s="58"/>
    </row>
    <row r="149" spans="1:17" s="6" customFormat="1" ht="18" hidden="1" customHeight="1">
      <c r="A149" s="30"/>
      <c r="B149" s="46"/>
      <c r="C149" s="94" t="e">
        <f t="shared" si="12"/>
        <v>#N/A</v>
      </c>
      <c r="D149" s="47" t="e">
        <f>VLOOKUP(F149,Sheet2!$A$2:$D$31,4,0)</f>
        <v>#N/A</v>
      </c>
      <c r="E149" s="48" t="e">
        <f>VLOOKUP(F149,Sheet2!$A$2:$D$31,2,0)</f>
        <v>#N/A</v>
      </c>
      <c r="F149" s="48"/>
      <c r="G149" s="49"/>
      <c r="H149" s="50" t="e">
        <f>VLOOKUP(F149,Sheet2!$A$2:$D$31,3,0)</f>
        <v>#N/A</v>
      </c>
      <c r="I149" s="68"/>
      <c r="J149" s="95"/>
      <c r="K149" s="96" t="e">
        <f t="shared" si="13"/>
        <v>#DIV/0!</v>
      </c>
      <c r="L149" s="104"/>
      <c r="M149" s="103"/>
      <c r="N149" s="103"/>
      <c r="O149" s="103"/>
      <c r="P149" s="70"/>
      <c r="Q149" s="58"/>
    </row>
    <row r="150" spans="1:17" s="6" customFormat="1" ht="18" hidden="1" customHeight="1">
      <c r="A150" s="30"/>
      <c r="B150" s="46"/>
      <c r="C150" s="94" t="e">
        <f t="shared" si="12"/>
        <v>#N/A</v>
      </c>
      <c r="D150" s="47" t="e">
        <f>VLOOKUP(F150,Sheet2!$A$2:$D$31,4,0)</f>
        <v>#N/A</v>
      </c>
      <c r="E150" s="48" t="e">
        <f>VLOOKUP(F150,Sheet2!$A$2:$D$31,2,0)</f>
        <v>#N/A</v>
      </c>
      <c r="F150" s="48"/>
      <c r="G150" s="49"/>
      <c r="H150" s="50" t="e">
        <f>VLOOKUP(F150,Sheet2!$A$2:$D$31,3,0)</f>
        <v>#N/A</v>
      </c>
      <c r="I150" s="68"/>
      <c r="J150" s="95"/>
      <c r="K150" s="96" t="e">
        <f t="shared" si="13"/>
        <v>#DIV/0!</v>
      </c>
      <c r="L150" s="104"/>
      <c r="M150" s="103"/>
      <c r="N150" s="103"/>
      <c r="O150" s="103"/>
      <c r="P150" s="70"/>
      <c r="Q150" s="58"/>
    </row>
    <row r="151" spans="1:17" s="6" customFormat="1" ht="18" hidden="1" customHeight="1">
      <c r="A151" s="30"/>
      <c r="B151" s="46"/>
      <c r="C151" s="94" t="e">
        <f t="shared" si="12"/>
        <v>#N/A</v>
      </c>
      <c r="D151" s="47" t="e">
        <f>VLOOKUP(F151,Sheet2!$A$2:$D$31,4,0)</f>
        <v>#N/A</v>
      </c>
      <c r="E151" s="48" t="e">
        <f>VLOOKUP(F151,Sheet2!$A$2:$D$31,2,0)</f>
        <v>#N/A</v>
      </c>
      <c r="F151" s="48"/>
      <c r="G151" s="49"/>
      <c r="H151" s="50" t="e">
        <f>VLOOKUP(F151,Sheet2!$A$2:$D$31,3,0)</f>
        <v>#N/A</v>
      </c>
      <c r="I151" s="68"/>
      <c r="J151" s="95"/>
      <c r="K151" s="96" t="e">
        <f t="shared" si="13"/>
        <v>#DIV/0!</v>
      </c>
      <c r="L151" s="104"/>
      <c r="M151" s="103"/>
      <c r="N151" s="103"/>
      <c r="O151" s="103"/>
      <c r="P151" s="70"/>
      <c r="Q151" s="58"/>
    </row>
    <row r="152" spans="1:17" s="6" customFormat="1" ht="18" hidden="1" customHeight="1">
      <c r="A152" s="30"/>
      <c r="B152" s="46"/>
      <c r="C152" s="94" t="e">
        <f t="shared" si="12"/>
        <v>#N/A</v>
      </c>
      <c r="D152" s="47" t="e">
        <f>VLOOKUP(F152,Sheet2!$A$2:$D$31,4,0)</f>
        <v>#N/A</v>
      </c>
      <c r="E152" s="48" t="e">
        <f>VLOOKUP(F152,Sheet2!$A$2:$D$31,2,0)</f>
        <v>#N/A</v>
      </c>
      <c r="F152" s="48"/>
      <c r="G152" s="49"/>
      <c r="H152" s="50" t="e">
        <f>VLOOKUP(F152,Sheet2!$A$2:$D$31,3,0)</f>
        <v>#N/A</v>
      </c>
      <c r="I152" s="68"/>
      <c r="J152" s="69"/>
      <c r="K152" s="96" t="e">
        <f t="shared" si="13"/>
        <v>#DIV/0!</v>
      </c>
      <c r="L152" s="104"/>
      <c r="M152" s="73"/>
      <c r="N152" s="103"/>
      <c r="O152" s="103"/>
      <c r="P152" s="70"/>
      <c r="Q152" s="58"/>
    </row>
    <row r="153" spans="1:17" s="6" customFormat="1" ht="18" hidden="1" customHeight="1">
      <c r="A153" s="30"/>
      <c r="B153" s="46"/>
      <c r="C153" s="94" t="e">
        <f t="shared" si="12"/>
        <v>#N/A</v>
      </c>
      <c r="D153" s="47" t="e">
        <f>VLOOKUP(F153,Sheet2!$A$2:$D$31,4,0)</f>
        <v>#N/A</v>
      </c>
      <c r="E153" s="48" t="e">
        <f>VLOOKUP(F153,Sheet2!$A$2:$D$31,2,0)</f>
        <v>#N/A</v>
      </c>
      <c r="F153" s="48"/>
      <c r="G153" s="49"/>
      <c r="H153" s="50" t="e">
        <f>VLOOKUP(F153,Sheet2!$A$2:$D$31,3,0)</f>
        <v>#N/A</v>
      </c>
      <c r="I153" s="68"/>
      <c r="J153" s="69"/>
      <c r="K153" s="96" t="e">
        <f t="shared" si="13"/>
        <v>#DIV/0!</v>
      </c>
      <c r="L153" s="104"/>
      <c r="M153" s="73"/>
      <c r="N153" s="103"/>
      <c r="O153" s="103"/>
      <c r="P153" s="70"/>
      <c r="Q153" s="58"/>
    </row>
    <row r="154" spans="1:17" s="6" customFormat="1" ht="18" hidden="1" customHeight="1">
      <c r="A154" s="30"/>
      <c r="B154" s="46"/>
      <c r="C154" s="94" t="e">
        <f t="shared" si="12"/>
        <v>#N/A</v>
      </c>
      <c r="D154" s="47" t="e">
        <f>VLOOKUP(F154,Sheet2!$A$2:$D$31,4,0)</f>
        <v>#N/A</v>
      </c>
      <c r="E154" s="48" t="e">
        <f>VLOOKUP(F154,Sheet2!$A$2:$D$31,2,0)</f>
        <v>#N/A</v>
      </c>
      <c r="F154" s="48"/>
      <c r="G154" s="49"/>
      <c r="H154" s="50" t="e">
        <f>VLOOKUP(F154,Sheet2!$A$2:$D$31,3,0)</f>
        <v>#N/A</v>
      </c>
      <c r="I154" s="68"/>
      <c r="J154" s="95"/>
      <c r="K154" s="96" t="e">
        <f t="shared" si="13"/>
        <v>#DIV/0!</v>
      </c>
      <c r="L154" s="104"/>
      <c r="M154" s="103"/>
      <c r="N154" s="103"/>
      <c r="O154" s="103"/>
      <c r="P154" s="70"/>
      <c r="Q154" s="58"/>
    </row>
    <row r="155" spans="1:17" s="6" customFormat="1" ht="18" hidden="1" customHeight="1">
      <c r="A155" s="30"/>
      <c r="B155" s="46"/>
      <c r="C155" s="94" t="e">
        <f t="shared" si="12"/>
        <v>#N/A</v>
      </c>
      <c r="D155" s="47" t="e">
        <f>VLOOKUP(F155,Sheet2!$A$2:$D$31,4,0)</f>
        <v>#N/A</v>
      </c>
      <c r="E155" s="48" t="e">
        <f>VLOOKUP(F155,Sheet2!$A$2:$D$31,2,0)</f>
        <v>#N/A</v>
      </c>
      <c r="F155" s="48"/>
      <c r="G155" s="49"/>
      <c r="H155" s="50" t="e">
        <f>VLOOKUP(F155,Sheet2!$A$2:$D$31,3,0)</f>
        <v>#N/A</v>
      </c>
      <c r="I155" s="68"/>
      <c r="J155" s="95"/>
      <c r="K155" s="96" t="e">
        <f t="shared" si="13"/>
        <v>#DIV/0!</v>
      </c>
      <c r="L155" s="104"/>
      <c r="M155" s="103"/>
      <c r="N155" s="103"/>
      <c r="O155" s="103"/>
      <c r="P155" s="70"/>
      <c r="Q155" s="58"/>
    </row>
    <row r="156" spans="1:17" s="6" customFormat="1" ht="18" hidden="1" customHeight="1">
      <c r="A156" s="30"/>
      <c r="B156" s="46"/>
      <c r="C156" s="94" t="e">
        <f t="shared" si="12"/>
        <v>#N/A</v>
      </c>
      <c r="D156" s="47" t="e">
        <f>VLOOKUP(F156,Sheet2!$A$2:$D$31,4,0)</f>
        <v>#N/A</v>
      </c>
      <c r="E156" s="48" t="e">
        <f>VLOOKUP(F156,Sheet2!$A$2:$D$31,2,0)</f>
        <v>#N/A</v>
      </c>
      <c r="F156" s="48"/>
      <c r="G156" s="49"/>
      <c r="H156" s="50" t="e">
        <f>VLOOKUP(F156,Sheet2!$A$2:$D$31,3,0)</f>
        <v>#N/A</v>
      </c>
      <c r="I156" s="68"/>
      <c r="J156" s="95"/>
      <c r="K156" s="96" t="e">
        <f t="shared" si="13"/>
        <v>#DIV/0!</v>
      </c>
      <c r="L156" s="104"/>
      <c r="M156" s="103"/>
      <c r="N156" s="103"/>
      <c r="O156" s="103"/>
      <c r="P156" s="70"/>
      <c r="Q156" s="58"/>
    </row>
    <row r="157" spans="1:17" s="6" customFormat="1" ht="18" hidden="1" customHeight="1">
      <c r="A157" s="30"/>
      <c r="B157" s="46"/>
      <c r="C157" s="94" t="e">
        <f t="shared" si="12"/>
        <v>#N/A</v>
      </c>
      <c r="D157" s="47" t="e">
        <f>VLOOKUP(F157,Sheet2!$A$2:$D$31,4,0)</f>
        <v>#N/A</v>
      </c>
      <c r="E157" s="48" t="e">
        <f>VLOOKUP(F157,Sheet2!$A$2:$D$31,2,0)</f>
        <v>#N/A</v>
      </c>
      <c r="F157" s="48"/>
      <c r="G157" s="49"/>
      <c r="H157" s="50" t="e">
        <f>VLOOKUP(F157,Sheet2!$A$2:$D$31,3,0)</f>
        <v>#N/A</v>
      </c>
      <c r="I157" s="68"/>
      <c r="J157" s="95"/>
      <c r="K157" s="96" t="e">
        <f t="shared" si="13"/>
        <v>#DIV/0!</v>
      </c>
      <c r="L157" s="104"/>
      <c r="M157" s="103"/>
      <c r="N157" s="103"/>
      <c r="O157" s="103"/>
      <c r="P157" s="70"/>
      <c r="Q157" s="58"/>
    </row>
    <row r="158" spans="1:17" s="6" customFormat="1" ht="18" hidden="1" customHeight="1">
      <c r="A158" s="30"/>
      <c r="B158" s="46"/>
      <c r="C158" s="94" t="e">
        <f t="shared" si="12"/>
        <v>#N/A</v>
      </c>
      <c r="D158" s="47" t="e">
        <f>VLOOKUP(F158,Sheet2!$A$2:$D$31,4,0)</f>
        <v>#N/A</v>
      </c>
      <c r="E158" s="48" t="e">
        <f>VLOOKUP(F158,Sheet2!$A$2:$D$31,2,0)</f>
        <v>#N/A</v>
      </c>
      <c r="F158" s="48"/>
      <c r="G158" s="49"/>
      <c r="H158" s="50" t="e">
        <f>VLOOKUP(F158,Sheet2!$A$2:$D$31,3,0)</f>
        <v>#N/A</v>
      </c>
      <c r="I158" s="68"/>
      <c r="J158" s="69"/>
      <c r="K158" s="96" t="e">
        <f t="shared" si="13"/>
        <v>#DIV/0!</v>
      </c>
      <c r="L158" s="104"/>
      <c r="M158" s="73"/>
      <c r="N158" s="103"/>
      <c r="O158" s="103"/>
      <c r="P158" s="70"/>
      <c r="Q158" s="58"/>
    </row>
    <row r="159" spans="1:17" s="6" customFormat="1" ht="18" hidden="1" customHeight="1">
      <c r="A159" s="30"/>
      <c r="B159" s="46"/>
      <c r="C159" s="94" t="e">
        <f t="shared" si="12"/>
        <v>#N/A</v>
      </c>
      <c r="D159" s="47" t="e">
        <f>VLOOKUP(F159,Sheet2!$A$2:$D$31,4,0)</f>
        <v>#N/A</v>
      </c>
      <c r="E159" s="48" t="e">
        <f>VLOOKUP(F159,Sheet2!$A$2:$D$31,2,0)</f>
        <v>#N/A</v>
      </c>
      <c r="F159" s="48"/>
      <c r="G159" s="49"/>
      <c r="H159" s="50" t="e">
        <f>VLOOKUP(F159,Sheet2!$A$2:$D$31,3,0)</f>
        <v>#N/A</v>
      </c>
      <c r="I159" s="68"/>
      <c r="J159" s="95"/>
      <c r="K159" s="96" t="e">
        <f t="shared" si="13"/>
        <v>#DIV/0!</v>
      </c>
      <c r="L159" s="104"/>
      <c r="M159" s="103"/>
      <c r="N159" s="103"/>
      <c r="O159" s="103"/>
      <c r="P159" s="70"/>
      <c r="Q159" s="58"/>
    </row>
    <row r="160" spans="1:17" s="6" customFormat="1" ht="18" hidden="1" customHeight="1">
      <c r="A160" s="30"/>
      <c r="B160" s="46"/>
      <c r="C160" s="94" t="e">
        <f t="shared" si="12"/>
        <v>#N/A</v>
      </c>
      <c r="D160" s="47" t="e">
        <f>VLOOKUP(F160,Sheet2!$A$2:$D$31,4,0)</f>
        <v>#N/A</v>
      </c>
      <c r="E160" s="48" t="e">
        <f>VLOOKUP(F160,Sheet2!$A$2:$D$31,2,0)</f>
        <v>#N/A</v>
      </c>
      <c r="F160" s="48"/>
      <c r="G160" s="49"/>
      <c r="H160" s="50" t="e">
        <f>VLOOKUP(F160,Sheet2!$A$2:$D$31,3,0)</f>
        <v>#N/A</v>
      </c>
      <c r="I160" s="68"/>
      <c r="J160" s="95"/>
      <c r="K160" s="96" t="e">
        <f t="shared" si="13"/>
        <v>#DIV/0!</v>
      </c>
      <c r="L160" s="104"/>
      <c r="M160" s="103"/>
      <c r="N160" s="103"/>
      <c r="O160" s="103"/>
      <c r="P160" s="70"/>
      <c r="Q160" s="58"/>
    </row>
    <row r="161" spans="1:19" s="6" customFormat="1" ht="22.5" hidden="1" customHeight="1" thickBot="1">
      <c r="A161" s="30"/>
      <c r="B161" s="51"/>
      <c r="C161" s="99"/>
      <c r="D161" s="52"/>
      <c r="E161" s="53" t="s">
        <v>38</v>
      </c>
      <c r="F161" s="53"/>
      <c r="G161" s="54">
        <f>SUM(G141:G160)</f>
        <v>0</v>
      </c>
      <c r="H161" s="55"/>
      <c r="I161" s="71">
        <f>SUM(I141:I160)</f>
        <v>0</v>
      </c>
      <c r="J161" s="72">
        <f>SUM(J141:J160)</f>
        <v>0</v>
      </c>
      <c r="K161" s="71"/>
      <c r="L161" s="100">
        <f>SUM(L141:L160)</f>
        <v>0</v>
      </c>
      <c r="M161" s="101">
        <f>SUM(M141:M160)</f>
        <v>0</v>
      </c>
      <c r="N161" s="101"/>
      <c r="O161" s="101"/>
      <c r="P161" s="101">
        <f>SUM(P141:P160)</f>
        <v>0</v>
      </c>
      <c r="Q161" s="58"/>
    </row>
    <row r="162" spans="1:19" s="6" customFormat="1" ht="15.5">
      <c r="A162" s="30"/>
      <c r="B162" s="105"/>
      <c r="C162" s="106"/>
      <c r="D162" s="105"/>
      <c r="E162" s="76"/>
      <c r="F162" s="76"/>
      <c r="G162" s="87"/>
      <c r="H162" s="88"/>
      <c r="I162" s="82"/>
      <c r="J162" s="82"/>
      <c r="K162" s="107"/>
      <c r="L162" s="107"/>
      <c r="M162" s="107"/>
      <c r="N162" s="107"/>
      <c r="O162" s="107"/>
      <c r="P162" s="66"/>
      <c r="Q162" s="58"/>
    </row>
    <row r="163" spans="1:19" s="6" customFormat="1" ht="42" customHeight="1" thickBot="1">
      <c r="A163" s="30"/>
      <c r="B163" s="21"/>
      <c r="C163" s="106"/>
      <c r="D163" s="21"/>
      <c r="E163" s="108"/>
      <c r="F163" s="108"/>
      <c r="G163" s="415" t="s">
        <v>44</v>
      </c>
      <c r="H163" s="415"/>
      <c r="I163" s="76" t="s">
        <v>33</v>
      </c>
      <c r="J163" s="76" t="s">
        <v>34</v>
      </c>
      <c r="K163" s="416" t="s">
        <v>173</v>
      </c>
      <c r="L163" s="416"/>
      <c r="M163" s="396" t="s">
        <v>46</v>
      </c>
      <c r="N163" s="396"/>
      <c r="O163" s="396"/>
      <c r="P163" s="66"/>
      <c r="Q163" s="58"/>
      <c r="R163" s="364" t="s">
        <v>167</v>
      </c>
      <c r="S163" s="364"/>
    </row>
    <row r="164" spans="1:19" s="6" customFormat="1" ht="23.25" customHeight="1" thickBot="1">
      <c r="A164" s="21"/>
      <c r="B164" s="392"/>
      <c r="C164" s="110"/>
      <c r="D164" s="392"/>
      <c r="E164" s="408" t="s">
        <v>47</v>
      </c>
      <c r="F164" s="408"/>
      <c r="G164" s="410">
        <f>G41+G65+G89+G113+G137+G161</f>
        <v>0</v>
      </c>
      <c r="H164" s="411"/>
      <c r="I164" s="77">
        <f>I41+I65+I89+I113+I137+I161</f>
        <v>0</v>
      </c>
      <c r="J164" s="409" t="e">
        <f>J41+J65+J89+J113+J137+J161</f>
        <v>#DIV/0!</v>
      </c>
      <c r="K164" s="412">
        <f>L65+L41+L89+L113+L137+L161</f>
        <v>0</v>
      </c>
      <c r="L164" s="492"/>
      <c r="M164" s="370">
        <f>SUM(M41,M65,M89,M113,M137,M161)</f>
        <v>0</v>
      </c>
      <c r="N164" s="352"/>
      <c r="O164" s="352"/>
      <c r="P164" s="66"/>
      <c r="Q164" s="58"/>
      <c r="R164" s="365">
        <f>K164</f>
        <v>0</v>
      </c>
      <c r="S164" s="365"/>
    </row>
    <row r="165" spans="1:19" s="6" customFormat="1" ht="23.25" customHeight="1">
      <c r="A165" s="21"/>
      <c r="B165" s="392"/>
      <c r="C165" s="392"/>
      <c r="D165" s="392"/>
      <c r="E165" s="75"/>
      <c r="F165" s="75"/>
      <c r="G165" s="76"/>
      <c r="H165" s="76"/>
      <c r="I165" s="78"/>
      <c r="J165" s="79"/>
      <c r="K165" s="368" t="s">
        <v>164</v>
      </c>
      <c r="L165" s="369">
        <f>'Customs Invoice'!M165</f>
        <v>0</v>
      </c>
      <c r="N165" s="352"/>
      <c r="O165" s="352"/>
      <c r="P165" s="66"/>
      <c r="Q165" s="58"/>
    </row>
    <row r="166" spans="1:19" s="6" customFormat="1" ht="23.25" customHeight="1" thickBot="1">
      <c r="A166" s="21"/>
      <c r="B166" s="392"/>
      <c r="C166" s="392"/>
      <c r="D166" s="392"/>
      <c r="E166" s="75"/>
      <c r="F166" s="75"/>
      <c r="G166" s="76"/>
      <c r="H166" s="76"/>
      <c r="I166" s="78"/>
      <c r="J166" s="79"/>
      <c r="K166" s="366" t="s">
        <v>141</v>
      </c>
      <c r="L166" s="367">
        <f>'Customs Invoice'!M166</f>
        <v>0</v>
      </c>
      <c r="N166" s="352"/>
      <c r="O166" s="352"/>
      <c r="P166" s="66"/>
      <c r="Q166" s="58"/>
    </row>
    <row r="167" spans="1:19" s="6" customFormat="1" ht="23.25" customHeight="1" thickBot="1">
      <c r="A167" s="21"/>
      <c r="B167" s="392"/>
      <c r="C167" s="392"/>
      <c r="D167" s="392"/>
      <c r="E167" s="75"/>
      <c r="F167" s="75"/>
      <c r="G167" s="76"/>
      <c r="H167" s="76"/>
      <c r="I167" s="78"/>
      <c r="J167" s="79"/>
      <c r="K167" s="356" t="s">
        <v>48</v>
      </c>
      <c r="L167" s="370">
        <f>K164+L165+L166</f>
        <v>0</v>
      </c>
      <c r="N167" s="352"/>
      <c r="O167" s="352"/>
      <c r="P167" s="66"/>
      <c r="Q167" s="58"/>
    </row>
    <row r="168" spans="1:19" s="6" customFormat="1" ht="15.5">
      <c r="B168" s="392"/>
      <c r="C168" s="392"/>
      <c r="D168" s="392"/>
      <c r="E168" s="75"/>
      <c r="F168" s="75"/>
      <c r="G168" s="76"/>
      <c r="H168" s="76"/>
      <c r="I168" s="78"/>
      <c r="K168" s="80"/>
      <c r="L168" s="80"/>
      <c r="M168" s="81"/>
      <c r="N168" s="81"/>
      <c r="O168" s="81"/>
      <c r="P168" s="66"/>
      <c r="Q168" s="58"/>
    </row>
    <row r="169" spans="1:19" s="6" customFormat="1" ht="15.5">
      <c r="A169" s="89"/>
      <c r="B169" s="392"/>
      <c r="C169" s="392"/>
      <c r="D169" s="392"/>
      <c r="E169" s="75"/>
      <c r="F169" s="75"/>
      <c r="G169" s="76"/>
      <c r="H169" s="76"/>
      <c r="I169" s="78"/>
      <c r="K169" s="80"/>
      <c r="L169" s="80"/>
      <c r="M169" s="81"/>
      <c r="N169" s="81"/>
      <c r="O169" s="81"/>
      <c r="P169" s="66"/>
      <c r="Q169" s="58"/>
    </row>
    <row r="170" spans="1:19" s="6" customFormat="1" ht="15.5">
      <c r="A170" s="89"/>
      <c r="B170" s="392"/>
      <c r="C170" s="392"/>
      <c r="D170" s="392"/>
      <c r="E170" s="75"/>
      <c r="F170" s="75"/>
      <c r="G170" s="76"/>
      <c r="H170" s="76"/>
      <c r="I170" s="112" t="s">
        <v>49</v>
      </c>
      <c r="K170" s="80"/>
      <c r="M170" s="81"/>
      <c r="N170" s="81"/>
      <c r="O170" s="81"/>
      <c r="P170" s="66"/>
      <c r="Q170" s="58"/>
    </row>
    <row r="171" spans="1:19" s="6" customFormat="1" ht="15.5">
      <c r="A171"/>
      <c r="B171"/>
      <c r="C171"/>
      <c r="D171"/>
      <c r="E171"/>
      <c r="F171"/>
      <c r="G171"/>
      <c r="H171"/>
      <c r="I171" s="112"/>
      <c r="K171" s="82"/>
      <c r="M171" s="83"/>
      <c r="N171" s="83"/>
      <c r="O171" s="83"/>
      <c r="P171" s="66"/>
      <c r="Q171" s="58"/>
    </row>
    <row r="172" spans="1:19" s="6" customFormat="1" ht="15.5">
      <c r="A172"/>
      <c r="B172"/>
      <c r="C172"/>
      <c r="D172"/>
      <c r="E172"/>
      <c r="F172"/>
      <c r="G172"/>
      <c r="H172"/>
      <c r="I172" s="112"/>
      <c r="M172" s="112"/>
      <c r="N172" s="112"/>
      <c r="O172" s="112"/>
      <c r="P172" s="66"/>
      <c r="Q172" s="58"/>
    </row>
    <row r="173" spans="1:19" s="6" customFormat="1" ht="15.5">
      <c r="A173"/>
      <c r="B173"/>
      <c r="C173"/>
      <c r="D173"/>
      <c r="E173"/>
      <c r="F173"/>
      <c r="G173"/>
      <c r="H173"/>
      <c r="I173" s="85" t="s">
        <v>50</v>
      </c>
      <c r="M173" s="112"/>
      <c r="N173" s="112"/>
      <c r="O173" s="112"/>
      <c r="P173" s="66"/>
      <c r="Q173" s="58"/>
    </row>
    <row r="174" spans="1:19" s="6" customFormat="1" ht="15.5">
      <c r="A174"/>
      <c r="B174"/>
      <c r="C174"/>
      <c r="D174"/>
      <c r="E174"/>
      <c r="F174"/>
      <c r="G174"/>
      <c r="H174"/>
      <c r="I174"/>
      <c r="M174" s="112"/>
      <c r="N174" s="112"/>
      <c r="O174" s="112"/>
      <c r="P174" s="66"/>
      <c r="Q174" s="58"/>
    </row>
    <row r="175" spans="1:19" s="6" customFormat="1" ht="15">
      <c r="A175"/>
      <c r="B175"/>
      <c r="C175"/>
      <c r="D175"/>
      <c r="E175"/>
      <c r="F175"/>
      <c r="G175"/>
      <c r="H175"/>
      <c r="I175"/>
      <c r="J175" s="21"/>
      <c r="M175" s="85"/>
      <c r="N175" s="113"/>
      <c r="O175" s="113"/>
      <c r="P175" s="66"/>
      <c r="Q175" s="58"/>
    </row>
    <row r="176" spans="1:19" ht="15.75" customHeight="1">
      <c r="F176" s="398"/>
    </row>
    <row r="177" ht="15.75" customHeight="1"/>
    <row r="178" ht="15.75" customHeight="1"/>
    <row r="179" ht="15.75" customHeight="1"/>
  </sheetData>
  <mergeCells count="15">
    <mergeCell ref="K163:L163"/>
    <mergeCell ref="G164:H164"/>
    <mergeCell ref="K164:L164"/>
    <mergeCell ref="K10:L11"/>
    <mergeCell ref="G44:H44"/>
    <mergeCell ref="G68:H68"/>
    <mergeCell ref="G92:H92"/>
    <mergeCell ref="G116:H116"/>
    <mergeCell ref="G140:H140"/>
    <mergeCell ref="G163:H163"/>
    <mergeCell ref="A1:M1"/>
    <mergeCell ref="A2:M2"/>
    <mergeCell ref="A3:M3"/>
    <mergeCell ref="G20:H20"/>
    <mergeCell ref="G41:H41"/>
  </mergeCells>
  <pageMargins left="0.16111111111111101" right="0.27152777777777798" top="9.7916666666666693E-2" bottom="9.7916666666666693E-2" header="0.16111111111111101" footer="0.16111111111111101"/>
  <pageSetup paperSize="9" scale="58" orientation="landscape" r:id="rId1"/>
  <headerFooter scaleWithDoc="0" alignWithMargins="0">
    <evenHeader>&amp;R&amp;9IV1910171019-0 page 2</evenHeader>
  </headerFooter>
  <ignoredErrors>
    <ignoredError xmlns:x16r3="http://schemas.microsoft.com/office/spreadsheetml/2018/08/main" sqref="L4" x16r3:misleadingForma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7EC7-A1E0-4438-B625-8584AB76E3BF}">
  <dimension ref="A1:AA1006"/>
  <sheetViews>
    <sheetView view="pageBreakPreview" zoomScale="70" zoomScaleNormal="70" zoomScaleSheetLayoutView="70" workbookViewId="0">
      <selection activeCell="B19" sqref="B19"/>
    </sheetView>
  </sheetViews>
  <sheetFormatPr defaultColWidth="11.25" defaultRowHeight="15" customHeight="1"/>
  <cols>
    <col min="1" max="1" width="13.33203125" style="232" customWidth="1"/>
    <col min="2" max="2" width="14.4140625" style="232" customWidth="1"/>
    <col min="3" max="3" width="35.08203125" style="232" customWidth="1"/>
    <col min="4" max="4" width="21.58203125" style="232" customWidth="1"/>
    <col min="5" max="6" width="25.9140625" style="232" customWidth="1"/>
    <col min="7" max="7" width="16.33203125" style="232" customWidth="1"/>
    <col min="8" max="8" width="22.25" style="232" customWidth="1"/>
    <col min="9" max="10" width="6.08203125" style="232" customWidth="1"/>
    <col min="11" max="12" width="21.5" style="232" customWidth="1"/>
    <col min="13" max="13" width="26.1640625" style="232" customWidth="1"/>
    <col min="14" max="14" width="26.83203125" style="232" customWidth="1"/>
    <col min="15" max="16" width="23.08203125" style="232" customWidth="1"/>
    <col min="17" max="17" width="17.58203125" style="232" customWidth="1"/>
    <col min="18" max="18" width="10.33203125" style="232" customWidth="1"/>
    <col min="19" max="27" width="9" style="232" customWidth="1"/>
    <col min="28" max="16384" width="11.25" style="232"/>
  </cols>
  <sheetData>
    <row r="1" spans="1:27" ht="24.75" customHeight="1">
      <c r="A1" s="498" t="s">
        <v>0</v>
      </c>
      <c r="B1" s="499"/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499"/>
      <c r="N1" s="499"/>
      <c r="O1" s="499"/>
      <c r="P1" s="229"/>
      <c r="Q1" s="230"/>
      <c r="R1" s="230"/>
      <c r="S1" s="231"/>
      <c r="T1" s="231"/>
      <c r="U1" s="231"/>
      <c r="V1" s="231"/>
      <c r="W1" s="231"/>
      <c r="X1" s="231"/>
      <c r="Y1" s="231"/>
      <c r="Z1" s="231"/>
      <c r="AA1" s="231"/>
    </row>
    <row r="2" spans="1:27" ht="15.75" customHeight="1">
      <c r="A2" s="500" t="s">
        <v>1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233"/>
      <c r="Q2" s="234"/>
      <c r="R2" s="234"/>
      <c r="S2" s="235"/>
      <c r="T2" s="235"/>
      <c r="U2" s="235"/>
      <c r="V2" s="235"/>
      <c r="W2" s="235"/>
      <c r="X2" s="235"/>
      <c r="Y2" s="235"/>
      <c r="Z2" s="235"/>
      <c r="AA2" s="235"/>
    </row>
    <row r="3" spans="1:27" ht="15.75" customHeight="1">
      <c r="A3" s="501" t="s">
        <v>143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236"/>
      <c r="Q3" s="234"/>
      <c r="R3" s="237"/>
      <c r="S3" s="238"/>
      <c r="T3" s="238"/>
      <c r="U3" s="238"/>
      <c r="V3" s="238"/>
      <c r="W3" s="238"/>
      <c r="X3" s="238"/>
      <c r="Y3" s="238"/>
      <c r="Z3" s="238"/>
      <c r="AA3" s="238"/>
    </row>
    <row r="4" spans="1:27" ht="16.5" customHeight="1">
      <c r="A4" s="239" t="s">
        <v>3</v>
      </c>
      <c r="B4" s="240" t="s">
        <v>4</v>
      </c>
      <c r="C4" s="241"/>
      <c r="D4" s="242"/>
      <c r="E4" s="242"/>
      <c r="F4" s="242"/>
      <c r="G4" s="243"/>
      <c r="H4" s="244" t="s">
        <v>5</v>
      </c>
      <c r="I4" s="245"/>
      <c r="J4" s="245">
        <f>'Customs Invoice'!K4</f>
        <v>0</v>
      </c>
      <c r="K4" s="246"/>
      <c r="L4" s="246"/>
      <c r="M4" s="246"/>
      <c r="N4" s="247"/>
      <c r="O4" s="235"/>
      <c r="P4" s="234"/>
      <c r="Q4" s="234"/>
      <c r="R4" s="235"/>
      <c r="S4" s="235"/>
      <c r="T4" s="235"/>
      <c r="U4" s="235"/>
      <c r="V4" s="235"/>
      <c r="W4" s="235"/>
      <c r="X4" s="235"/>
      <c r="Y4" s="235"/>
      <c r="Z4" s="235"/>
    </row>
    <row r="5" spans="1:27" ht="16.5" customHeight="1">
      <c r="A5" s="248"/>
      <c r="B5" s="235" t="s">
        <v>6</v>
      </c>
      <c r="C5" s="233"/>
      <c r="D5" s="235"/>
      <c r="E5" s="235"/>
      <c r="F5" s="235"/>
      <c r="G5" s="249"/>
      <c r="H5" s="250" t="s">
        <v>7</v>
      </c>
      <c r="I5" s="251"/>
      <c r="J5" s="251"/>
      <c r="K5" s="252"/>
      <c r="L5" s="252"/>
      <c r="M5" s="252"/>
      <c r="N5" s="253"/>
      <c r="O5" s="235"/>
      <c r="P5" s="234"/>
      <c r="Q5" s="234"/>
      <c r="R5" s="235"/>
      <c r="S5" s="235"/>
      <c r="T5" s="235"/>
      <c r="U5" s="235"/>
      <c r="V5" s="235"/>
      <c r="W5" s="235"/>
      <c r="X5" s="235"/>
      <c r="Y5" s="235"/>
      <c r="Z5" s="235"/>
    </row>
    <row r="6" spans="1:27" ht="16.5" customHeight="1">
      <c r="A6" s="248"/>
      <c r="B6" s="235" t="s">
        <v>144</v>
      </c>
      <c r="C6" s="233"/>
      <c r="D6" s="235"/>
      <c r="E6" s="235"/>
      <c r="F6" s="235"/>
      <c r="G6" s="235"/>
      <c r="H6" s="254" t="str">
        <f>'Customs Invoice'!I6</f>
        <v>BILL TO :</v>
      </c>
      <c r="I6" s="255"/>
      <c r="J6" s="256">
        <f>'Customs Invoice'!K6</f>
        <v>0</v>
      </c>
      <c r="K6" s="257"/>
      <c r="L6" s="258"/>
      <c r="M6" s="258"/>
      <c r="N6" s="259"/>
      <c r="O6" s="235"/>
      <c r="P6" s="234"/>
      <c r="Q6" s="234"/>
      <c r="R6" s="235"/>
      <c r="S6" s="235"/>
      <c r="T6" s="235"/>
      <c r="U6" s="235"/>
      <c r="V6" s="235"/>
      <c r="W6" s="235"/>
      <c r="X6" s="235"/>
      <c r="Y6" s="235"/>
      <c r="Z6" s="235"/>
    </row>
    <row r="7" spans="1:27" ht="16.5" customHeight="1">
      <c r="A7" s="248"/>
      <c r="B7" s="235" t="s">
        <v>145</v>
      </c>
      <c r="C7" s="233"/>
      <c r="D7" s="235"/>
      <c r="E7" s="235"/>
      <c r="F7" s="235"/>
      <c r="G7" s="235"/>
      <c r="H7" s="260"/>
      <c r="I7" s="261"/>
      <c r="J7" s="261">
        <f>'Customs Invoice'!K7</f>
        <v>0</v>
      </c>
      <c r="K7" s="262"/>
      <c r="L7" s="235"/>
      <c r="M7" s="235"/>
      <c r="N7" s="263"/>
      <c r="O7" s="264"/>
      <c r="P7" s="234"/>
      <c r="Q7" s="234"/>
      <c r="R7" s="235"/>
      <c r="S7" s="235"/>
      <c r="T7" s="235"/>
      <c r="U7" s="235"/>
      <c r="V7" s="235"/>
      <c r="W7" s="235"/>
      <c r="X7" s="235"/>
      <c r="Y7" s="235"/>
      <c r="Z7" s="235"/>
    </row>
    <row r="8" spans="1:27" ht="16.5" customHeight="1">
      <c r="A8" s="265"/>
      <c r="B8" s="266" t="s">
        <v>146</v>
      </c>
      <c r="C8" s="267"/>
      <c r="D8" s="266"/>
      <c r="E8" s="266"/>
      <c r="F8" s="266"/>
      <c r="G8" s="266"/>
      <c r="H8" s="260"/>
      <c r="I8" s="268"/>
      <c r="J8" s="261">
        <f>'Customs Invoice'!K8</f>
        <v>0</v>
      </c>
      <c r="K8" s="262"/>
      <c r="L8" s="235"/>
      <c r="M8" s="235"/>
      <c r="N8" s="263"/>
      <c r="O8" s="264"/>
      <c r="P8" s="234"/>
      <c r="Q8" s="234"/>
      <c r="R8" s="235"/>
      <c r="S8" s="235"/>
      <c r="T8" s="235"/>
      <c r="U8" s="235"/>
      <c r="V8" s="235"/>
      <c r="W8" s="235"/>
      <c r="X8" s="235"/>
      <c r="Y8" s="235"/>
      <c r="Z8" s="235"/>
    </row>
    <row r="9" spans="1:27" ht="16.5" customHeight="1">
      <c r="A9" s="269" t="s">
        <v>11</v>
      </c>
      <c r="B9" s="257">
        <f>'Customs Invoice'!B9</f>
        <v>0</v>
      </c>
      <c r="C9" s="270"/>
      <c r="D9" s="271"/>
      <c r="E9" s="271"/>
      <c r="F9" s="271"/>
      <c r="G9" s="258"/>
      <c r="H9" s="260"/>
      <c r="I9" s="268"/>
      <c r="J9" s="261">
        <f>'Customs Invoice'!K9</f>
        <v>0</v>
      </c>
      <c r="K9" s="262"/>
      <c r="L9" s="235"/>
      <c r="M9" s="235"/>
      <c r="N9" s="263"/>
      <c r="O9" s="235"/>
      <c r="P9" s="234"/>
      <c r="Q9" s="234"/>
      <c r="R9" s="235"/>
      <c r="S9" s="235"/>
      <c r="T9" s="235"/>
      <c r="U9" s="235"/>
      <c r="V9" s="235"/>
      <c r="W9" s="235"/>
      <c r="X9" s="235"/>
      <c r="Y9" s="235"/>
      <c r="Z9" s="235"/>
    </row>
    <row r="10" spans="1:27" ht="16.5" customHeight="1">
      <c r="A10" s="248"/>
      <c r="B10" s="262">
        <f>'Customs Invoice'!B10</f>
        <v>0</v>
      </c>
      <c r="C10" s="236"/>
      <c r="D10" s="262"/>
      <c r="E10" s="262"/>
      <c r="F10" s="262"/>
      <c r="G10" s="235"/>
      <c r="H10" s="260"/>
      <c r="I10" s="268"/>
      <c r="J10" s="261">
        <f>'Customs Invoice'!K10</f>
        <v>0</v>
      </c>
      <c r="K10" s="262"/>
      <c r="L10" s="235"/>
      <c r="M10" s="235"/>
      <c r="N10" s="263"/>
      <c r="O10" s="235"/>
      <c r="P10" s="272"/>
      <c r="Q10" s="234"/>
      <c r="R10" s="235"/>
      <c r="S10" s="235"/>
      <c r="T10" s="235"/>
      <c r="U10" s="235"/>
      <c r="V10" s="235"/>
      <c r="W10" s="235"/>
      <c r="X10" s="235"/>
      <c r="Y10" s="235"/>
      <c r="Z10" s="235"/>
    </row>
    <row r="11" spans="1:27" ht="16.5" customHeight="1">
      <c r="A11" s="248"/>
      <c r="B11" s="262">
        <f>'Customs Invoice'!B11</f>
        <v>0</v>
      </c>
      <c r="C11" s="236"/>
      <c r="D11" s="262"/>
      <c r="E11" s="262"/>
      <c r="F11" s="262"/>
      <c r="G11" s="235"/>
      <c r="H11" s="260"/>
      <c r="I11" s="268"/>
      <c r="J11" s="261">
        <f>'Customs Invoice'!K11</f>
        <v>0</v>
      </c>
      <c r="K11" s="262"/>
      <c r="L11" s="235"/>
      <c r="M11" s="235"/>
      <c r="N11" s="263"/>
      <c r="O11" s="235"/>
      <c r="P11" s="272"/>
      <c r="Q11" s="234"/>
      <c r="R11" s="235"/>
      <c r="S11" s="235"/>
      <c r="T11" s="235"/>
      <c r="U11" s="235"/>
      <c r="V11" s="235"/>
      <c r="W11" s="235"/>
      <c r="X11" s="235"/>
      <c r="Y11" s="235"/>
      <c r="Z11" s="235"/>
    </row>
    <row r="12" spans="1:27" ht="16.5" customHeight="1">
      <c r="A12" s="248"/>
      <c r="B12" s="262">
        <f>'Customs Invoice'!B12</f>
        <v>0</v>
      </c>
      <c r="C12" s="233"/>
      <c r="D12" s="262"/>
      <c r="E12" s="262"/>
      <c r="F12" s="262"/>
      <c r="G12" s="235"/>
      <c r="H12" s="273"/>
      <c r="I12" s="274"/>
      <c r="J12" s="274"/>
      <c r="K12" s="275"/>
      <c r="L12" s="266"/>
      <c r="M12" s="266"/>
      <c r="N12" s="276"/>
      <c r="O12" s="235"/>
      <c r="P12" s="272"/>
      <c r="Q12" s="277"/>
      <c r="R12" s="235"/>
      <c r="S12" s="235"/>
      <c r="T12" s="235"/>
      <c r="U12" s="235"/>
      <c r="V12" s="235"/>
      <c r="W12" s="235"/>
      <c r="X12" s="235"/>
      <c r="Y12" s="235"/>
      <c r="Z12" s="235"/>
    </row>
    <row r="13" spans="1:27" ht="16.5" customHeight="1">
      <c r="A13" s="248"/>
      <c r="B13" s="262">
        <f>'Customs Invoice'!B13</f>
        <v>0</v>
      </c>
      <c r="C13" s="233"/>
      <c r="D13" s="262"/>
      <c r="E13" s="262"/>
      <c r="F13" s="262"/>
      <c r="G13" s="249"/>
      <c r="H13" s="260" t="s">
        <v>13</v>
      </c>
      <c r="I13" s="261"/>
      <c r="J13" s="261" t="s">
        <v>147</v>
      </c>
      <c r="K13" s="262"/>
      <c r="L13" s="235"/>
      <c r="M13" s="235"/>
      <c r="N13" s="263"/>
      <c r="O13" s="235"/>
      <c r="P13" s="272"/>
      <c r="Q13" s="277"/>
      <c r="R13" s="235"/>
      <c r="S13" s="235"/>
      <c r="T13" s="235"/>
      <c r="U13" s="235"/>
      <c r="V13" s="235"/>
      <c r="W13" s="235"/>
      <c r="X13" s="235"/>
      <c r="Y13" s="235"/>
      <c r="Z13" s="235"/>
    </row>
    <row r="14" spans="1:27" ht="16.5" customHeight="1">
      <c r="A14" s="265"/>
      <c r="B14" s="262">
        <f>'Customs Invoice'!B14</f>
        <v>0</v>
      </c>
      <c r="C14" s="267"/>
      <c r="D14" s="266"/>
      <c r="E14" s="266"/>
      <c r="F14" s="266"/>
      <c r="G14" s="278"/>
      <c r="H14" s="260"/>
      <c r="I14" s="268"/>
      <c r="J14" s="268" t="s">
        <v>16</v>
      </c>
      <c r="K14" s="235"/>
      <c r="L14" s="235"/>
      <c r="M14" s="235"/>
      <c r="N14" s="263"/>
      <c r="O14" s="279"/>
      <c r="P14" s="272"/>
      <c r="Q14" s="277"/>
      <c r="R14" s="235"/>
      <c r="S14" s="235"/>
      <c r="T14" s="235"/>
      <c r="U14" s="235"/>
      <c r="V14" s="235"/>
      <c r="W14" s="235"/>
      <c r="X14" s="235"/>
      <c r="Y14" s="235"/>
      <c r="Z14" s="235"/>
    </row>
    <row r="15" spans="1:27" ht="16.5" customHeight="1">
      <c r="A15" s="280" t="s">
        <v>17</v>
      </c>
      <c r="B15" s="357">
        <f>'Customs Invoice'!B15</f>
        <v>0</v>
      </c>
      <c r="C15" s="281" t="s">
        <v>148</v>
      </c>
      <c r="D15" s="283" t="s">
        <v>18</v>
      </c>
      <c r="E15" s="283"/>
      <c r="F15" s="282"/>
      <c r="G15" s="284"/>
      <c r="H15" s="260"/>
      <c r="I15" s="268"/>
      <c r="J15" s="268" t="s">
        <v>19</v>
      </c>
      <c r="K15" s="235"/>
      <c r="L15" s="279"/>
      <c r="M15" s="279"/>
      <c r="N15" s="263"/>
      <c r="O15" s="262"/>
      <c r="P15" s="277"/>
      <c r="Q15" s="234"/>
      <c r="R15" s="235"/>
      <c r="S15" s="235"/>
      <c r="T15" s="235"/>
      <c r="U15" s="235"/>
      <c r="V15" s="235"/>
      <c r="W15" s="235"/>
      <c r="X15" s="235"/>
      <c r="Y15" s="235"/>
      <c r="Z15" s="235"/>
    </row>
    <row r="16" spans="1:27" ht="16.5" customHeight="1">
      <c r="A16" s="285" t="s">
        <v>149</v>
      </c>
      <c r="B16" s="252">
        <f>'Customs Invoice'!B16</f>
        <v>0</v>
      </c>
      <c r="C16" s="286"/>
      <c r="D16" s="252" t="s">
        <v>21</v>
      </c>
      <c r="E16" s="252"/>
      <c r="F16" s="252"/>
      <c r="G16" s="284"/>
      <c r="H16" s="273"/>
      <c r="I16" s="266"/>
      <c r="J16" s="266" t="s">
        <v>150</v>
      </c>
      <c r="K16" s="266"/>
      <c r="L16" s="275"/>
      <c r="M16" s="275"/>
      <c r="N16" s="276"/>
      <c r="O16" s="235"/>
      <c r="P16" s="234"/>
      <c r="Q16" s="234"/>
      <c r="R16" s="235"/>
      <c r="S16" s="235"/>
      <c r="T16" s="235"/>
      <c r="U16" s="235"/>
      <c r="V16" s="235"/>
      <c r="W16" s="235"/>
      <c r="X16" s="235"/>
      <c r="Y16" s="235"/>
      <c r="Z16" s="235"/>
    </row>
    <row r="17" spans="1:27" ht="16.5" customHeight="1">
      <c r="A17" s="287" t="str">
        <f>'Customs Invoice'!A17</f>
        <v>To  :</v>
      </c>
      <c r="B17" s="288"/>
      <c r="C17" s="289"/>
      <c r="D17" s="288"/>
      <c r="E17" s="288"/>
      <c r="F17" s="288"/>
      <c r="G17" s="290"/>
      <c r="H17" s="291" t="s">
        <v>24</v>
      </c>
      <c r="I17" s="292"/>
      <c r="J17" s="292" t="s">
        <v>25</v>
      </c>
      <c r="K17" s="293"/>
      <c r="L17" s="288"/>
      <c r="M17" s="288"/>
      <c r="N17" s="294"/>
      <c r="O17" s="235"/>
      <c r="P17" s="234"/>
      <c r="Q17" s="234"/>
      <c r="R17" s="235"/>
      <c r="S17" s="235"/>
      <c r="T17" s="235"/>
      <c r="U17" s="235"/>
      <c r="V17" s="235"/>
      <c r="W17" s="235"/>
      <c r="X17" s="235"/>
      <c r="Y17" s="235"/>
      <c r="Z17" s="235"/>
    </row>
    <row r="18" spans="1:27" ht="15" customHeight="1">
      <c r="A18" s="238"/>
      <c r="B18" s="235" t="str">
        <f>CONCATENATE("PT Veronique to International Customers_",LEFT('Customs Invoice'!K4,13)," Customs Invoice_New Merchandise")</f>
        <v>PT Veronique to International Customers_ Customs Invoice_New Merchandise</v>
      </c>
      <c r="C18" s="235"/>
      <c r="D18" s="235"/>
      <c r="E18" s="235"/>
      <c r="F18" s="235"/>
      <c r="G18" s="235"/>
      <c r="H18" s="261"/>
      <c r="I18" s="262"/>
      <c r="J18" s="262"/>
      <c r="K18" s="235"/>
      <c r="L18" s="262"/>
      <c r="M18" s="262"/>
      <c r="N18" s="262"/>
      <c r="O18" s="262"/>
      <c r="P18" s="262"/>
      <c r="Q18" s="234"/>
      <c r="R18" s="234"/>
      <c r="S18" s="235"/>
      <c r="T18" s="235"/>
      <c r="U18" s="235"/>
      <c r="V18" s="235"/>
      <c r="W18" s="235"/>
      <c r="X18" s="235"/>
      <c r="Y18" s="235"/>
      <c r="Z18" s="235"/>
      <c r="AA18" s="235"/>
    </row>
    <row r="19" spans="1:27" ht="25.5" customHeight="1">
      <c r="A19" s="262"/>
      <c r="B19" s="295" t="s">
        <v>26</v>
      </c>
      <c r="C19" s="235"/>
      <c r="D19" s="295"/>
      <c r="E19" s="235"/>
      <c r="F19" s="235"/>
      <c r="G19" s="235"/>
      <c r="H19" s="235"/>
      <c r="I19" s="296"/>
      <c r="J19" s="296"/>
      <c r="K19" s="236"/>
      <c r="L19" s="297"/>
      <c r="M19" s="297"/>
      <c r="N19" s="297"/>
      <c r="O19" s="297"/>
      <c r="P19" s="297"/>
      <c r="Q19" s="298"/>
      <c r="R19" s="234"/>
      <c r="S19" s="235"/>
      <c r="T19" s="235"/>
      <c r="U19" s="235"/>
      <c r="V19" s="235"/>
      <c r="W19" s="235"/>
      <c r="X19" s="235"/>
      <c r="Y19" s="235"/>
      <c r="Z19" s="235"/>
      <c r="AA19" s="235"/>
    </row>
    <row r="20" spans="1:27" ht="60" customHeight="1">
      <c r="A20" s="262"/>
      <c r="B20" s="353" t="s">
        <v>151</v>
      </c>
      <c r="C20" s="353" t="s">
        <v>133</v>
      </c>
      <c r="D20" s="353" t="s">
        <v>152</v>
      </c>
      <c r="E20" s="353" t="s">
        <v>153</v>
      </c>
      <c r="F20" s="353" t="s">
        <v>154</v>
      </c>
      <c r="G20" s="353" t="s">
        <v>155</v>
      </c>
      <c r="H20" s="353" t="s">
        <v>156</v>
      </c>
      <c r="I20" s="502" t="s">
        <v>157</v>
      </c>
      <c r="J20" s="502"/>
      <c r="K20" s="354" t="s">
        <v>158</v>
      </c>
      <c r="L20" s="354" t="s">
        <v>159</v>
      </c>
      <c r="M20" s="354" t="s">
        <v>160</v>
      </c>
      <c r="N20" s="235"/>
      <c r="O20" s="295"/>
      <c r="P20" s="299"/>
      <c r="Q20" s="234"/>
      <c r="R20" s="235"/>
      <c r="S20" s="235"/>
      <c r="T20" s="235"/>
      <c r="U20" s="235"/>
      <c r="V20" s="235"/>
      <c r="W20" s="235"/>
      <c r="X20" s="235"/>
      <c r="Y20" s="235"/>
      <c r="Z20" s="235"/>
    </row>
    <row r="21" spans="1:27" ht="20" customHeight="1">
      <c r="A21" s="262"/>
      <c r="B21" s="503" t="s">
        <v>161</v>
      </c>
      <c r="C21" s="300" t="e">
        <f>'Customs Invoice'!E21</f>
        <v>#N/A</v>
      </c>
      <c r="D21" s="301">
        <v>1</v>
      </c>
      <c r="E21" s="302" t="e">
        <f>'Customs Invoice'!J21</f>
        <v>#DIV/0!</v>
      </c>
      <c r="F21" s="302">
        <f>'Customs Invoice'!I21</f>
        <v>0</v>
      </c>
      <c r="G21" s="301" t="s">
        <v>162</v>
      </c>
      <c r="H21" s="301" t="e">
        <f>'Customs Invoice'!C21</f>
        <v>#N/A</v>
      </c>
      <c r="I21" s="303">
        <f>'Customs Invoice'!G21</f>
        <v>0</v>
      </c>
      <c r="J21" s="304" t="e">
        <f>'Customs Invoice'!H21</f>
        <v>#N/A</v>
      </c>
      <c r="K21" s="305">
        <f>'Customs Invoice'!P21</f>
        <v>0</v>
      </c>
      <c r="L21" s="305">
        <f>'Customs Invoice'!N21</f>
        <v>0</v>
      </c>
      <c r="M21" s="306">
        <f>'Customs Invoice'!M21</f>
        <v>0</v>
      </c>
      <c r="N21" s="235"/>
      <c r="O21" s="307"/>
      <c r="P21" s="299"/>
      <c r="Q21" s="234"/>
      <c r="R21" s="235"/>
      <c r="S21" s="235"/>
      <c r="T21" s="235"/>
      <c r="U21" s="235"/>
      <c r="V21" s="235"/>
      <c r="W21" s="235"/>
      <c r="X21" s="235"/>
      <c r="Y21" s="235"/>
      <c r="Z21" s="235"/>
    </row>
    <row r="22" spans="1:27" ht="20" customHeight="1">
      <c r="A22" s="262"/>
      <c r="B22" s="503"/>
      <c r="C22" s="300" t="e">
        <f>'Customs Invoice'!E22</f>
        <v>#N/A</v>
      </c>
      <c r="D22" s="301">
        <v>2</v>
      </c>
      <c r="E22" s="302">
        <f>'Customs Invoice'!J22</f>
        <v>0</v>
      </c>
      <c r="F22" s="302">
        <f>'Customs Invoice'!I22</f>
        <v>0</v>
      </c>
      <c r="G22" s="301" t="s">
        <v>162</v>
      </c>
      <c r="H22" s="301" t="e">
        <f>'Customs Invoice'!C22</f>
        <v>#N/A</v>
      </c>
      <c r="I22" s="303">
        <f>'Customs Invoice'!G22</f>
        <v>0</v>
      </c>
      <c r="J22" s="304" t="e">
        <f>'Customs Invoice'!H22</f>
        <v>#N/A</v>
      </c>
      <c r="K22" s="305">
        <f>'Customs Invoice'!P22</f>
        <v>0</v>
      </c>
      <c r="L22" s="305">
        <f>'Customs Invoice'!N22</f>
        <v>0</v>
      </c>
      <c r="M22" s="306">
        <f>'Customs Invoice'!M22</f>
        <v>0</v>
      </c>
      <c r="N22" s="235"/>
      <c r="O22" s="307"/>
      <c r="P22" s="299"/>
      <c r="Q22" s="234"/>
      <c r="R22" s="235"/>
      <c r="S22" s="235"/>
      <c r="T22" s="235"/>
      <c r="U22" s="235"/>
      <c r="V22" s="235"/>
      <c r="W22" s="235"/>
      <c r="X22" s="235"/>
      <c r="Y22" s="235"/>
      <c r="Z22" s="235"/>
    </row>
    <row r="23" spans="1:27" ht="20" customHeight="1">
      <c r="A23" s="262"/>
      <c r="B23" s="503"/>
      <c r="C23" s="300" t="e">
        <f>'Customs Invoice'!E23</f>
        <v>#N/A</v>
      </c>
      <c r="D23" s="301">
        <v>3</v>
      </c>
      <c r="E23" s="302">
        <f>'Customs Invoice'!J23</f>
        <v>0</v>
      </c>
      <c r="F23" s="302">
        <f>'Customs Invoice'!I23</f>
        <v>0</v>
      </c>
      <c r="G23" s="301" t="s">
        <v>162</v>
      </c>
      <c r="H23" s="301" t="e">
        <f>'Customs Invoice'!C23</f>
        <v>#N/A</v>
      </c>
      <c r="I23" s="303">
        <f>'Customs Invoice'!G23</f>
        <v>0</v>
      </c>
      <c r="J23" s="304" t="e">
        <f>'Customs Invoice'!H23</f>
        <v>#N/A</v>
      </c>
      <c r="K23" s="305">
        <f>'Customs Invoice'!P23</f>
        <v>0</v>
      </c>
      <c r="L23" s="305">
        <f>'Customs Invoice'!N23</f>
        <v>0</v>
      </c>
      <c r="M23" s="306">
        <f>'Customs Invoice'!M23</f>
        <v>0</v>
      </c>
      <c r="N23" s="235"/>
      <c r="O23" s="307"/>
      <c r="P23" s="299"/>
      <c r="Q23" s="234"/>
      <c r="R23" s="235"/>
      <c r="S23" s="235"/>
      <c r="T23" s="235"/>
      <c r="U23" s="235"/>
      <c r="V23" s="235"/>
      <c r="W23" s="235"/>
      <c r="X23" s="235"/>
      <c r="Y23" s="235"/>
      <c r="Z23" s="235"/>
    </row>
    <row r="24" spans="1:27" ht="20" customHeight="1">
      <c r="A24" s="262"/>
      <c r="B24" s="503"/>
      <c r="C24" s="300" t="e">
        <f>'Customs Invoice'!E24</f>
        <v>#N/A</v>
      </c>
      <c r="D24" s="300">
        <v>4</v>
      </c>
      <c r="E24" s="302">
        <f>'Customs Invoice'!J24</f>
        <v>0</v>
      </c>
      <c r="F24" s="302">
        <f>'Customs Invoice'!I24</f>
        <v>0</v>
      </c>
      <c r="G24" s="301" t="s">
        <v>162</v>
      </c>
      <c r="H24" s="301" t="e">
        <f>'Customs Invoice'!C24</f>
        <v>#N/A</v>
      </c>
      <c r="I24" s="303">
        <f>'Customs Invoice'!G24</f>
        <v>0</v>
      </c>
      <c r="J24" s="304" t="e">
        <f>'Customs Invoice'!H24</f>
        <v>#N/A</v>
      </c>
      <c r="K24" s="305">
        <f>'Customs Invoice'!P24</f>
        <v>0</v>
      </c>
      <c r="L24" s="305">
        <f>'Customs Invoice'!N24</f>
        <v>0</v>
      </c>
      <c r="M24" s="306">
        <f>'Customs Invoice'!M24</f>
        <v>0</v>
      </c>
      <c r="N24" s="235"/>
      <c r="O24" s="307"/>
      <c r="P24" s="299"/>
      <c r="Q24" s="234"/>
      <c r="R24" s="235"/>
      <c r="S24" s="235"/>
      <c r="T24" s="235"/>
      <c r="U24" s="235"/>
      <c r="V24" s="235"/>
      <c r="W24" s="235"/>
      <c r="X24" s="235"/>
      <c r="Y24" s="235"/>
      <c r="Z24" s="235"/>
    </row>
    <row r="25" spans="1:27" ht="20" customHeight="1">
      <c r="A25" s="262"/>
      <c r="B25" s="503"/>
      <c r="C25" s="300" t="e">
        <f>'Customs Invoice'!E25</f>
        <v>#N/A</v>
      </c>
      <c r="D25" s="301">
        <v>5</v>
      </c>
      <c r="E25" s="302">
        <f>'Customs Invoice'!J25</f>
        <v>0</v>
      </c>
      <c r="F25" s="302">
        <f>'Customs Invoice'!I25</f>
        <v>0</v>
      </c>
      <c r="G25" s="301" t="s">
        <v>162</v>
      </c>
      <c r="H25" s="301" t="e">
        <f>'Customs Invoice'!C25</f>
        <v>#N/A</v>
      </c>
      <c r="I25" s="303">
        <f>'Customs Invoice'!G25</f>
        <v>0</v>
      </c>
      <c r="J25" s="304" t="e">
        <f>'Customs Invoice'!H25</f>
        <v>#N/A</v>
      </c>
      <c r="K25" s="305">
        <f>'Customs Invoice'!P25</f>
        <v>0</v>
      </c>
      <c r="L25" s="305">
        <f>'Customs Invoice'!N25</f>
        <v>0</v>
      </c>
      <c r="M25" s="306">
        <f>'Customs Invoice'!M25</f>
        <v>0</v>
      </c>
      <c r="N25" s="235"/>
      <c r="O25" s="308"/>
      <c r="P25" s="299"/>
      <c r="Q25" s="234"/>
      <c r="R25" s="235"/>
      <c r="S25" s="235"/>
      <c r="T25" s="235"/>
      <c r="U25" s="235"/>
      <c r="V25" s="235"/>
      <c r="W25" s="235"/>
      <c r="X25" s="235"/>
      <c r="Y25" s="235"/>
      <c r="Z25" s="235"/>
    </row>
    <row r="26" spans="1:27" ht="20" customHeight="1">
      <c r="A26" s="262"/>
      <c r="B26" s="503"/>
      <c r="C26" s="300" t="e">
        <f>'Customs Invoice'!E26</f>
        <v>#N/A</v>
      </c>
      <c r="D26" s="301">
        <v>6</v>
      </c>
      <c r="E26" s="302">
        <f>'Customs Invoice'!J26</f>
        <v>0</v>
      </c>
      <c r="F26" s="302">
        <f>'Customs Invoice'!I26</f>
        <v>0</v>
      </c>
      <c r="G26" s="301" t="s">
        <v>162</v>
      </c>
      <c r="H26" s="301" t="e">
        <f>'Customs Invoice'!C26</f>
        <v>#N/A</v>
      </c>
      <c r="I26" s="303">
        <f>'Customs Invoice'!G26</f>
        <v>0</v>
      </c>
      <c r="J26" s="304" t="e">
        <f>'Customs Invoice'!H26</f>
        <v>#N/A</v>
      </c>
      <c r="K26" s="305">
        <f>'Customs Invoice'!P26</f>
        <v>0</v>
      </c>
      <c r="L26" s="305">
        <f>'Customs Invoice'!N26</f>
        <v>0</v>
      </c>
      <c r="M26" s="306">
        <f>'Customs Invoice'!M26</f>
        <v>0</v>
      </c>
      <c r="N26" s="235"/>
      <c r="O26" s="308"/>
      <c r="P26" s="299"/>
      <c r="Q26" s="234"/>
      <c r="R26" s="235"/>
      <c r="S26" s="235"/>
      <c r="T26" s="235"/>
      <c r="U26" s="235"/>
      <c r="V26" s="235"/>
      <c r="W26" s="235"/>
      <c r="X26" s="235"/>
      <c r="Y26" s="235"/>
      <c r="Z26" s="235"/>
    </row>
    <row r="27" spans="1:27" ht="20" customHeight="1">
      <c r="A27" s="262"/>
      <c r="B27" s="503"/>
      <c r="C27" s="300" t="e">
        <f>'Customs Invoice'!E27</f>
        <v>#N/A</v>
      </c>
      <c r="D27" s="301">
        <v>7</v>
      </c>
      <c r="E27" s="302">
        <f>'Customs Invoice'!J27</f>
        <v>0</v>
      </c>
      <c r="F27" s="302">
        <f>'Customs Invoice'!I27</f>
        <v>0</v>
      </c>
      <c r="G27" s="301" t="s">
        <v>162</v>
      </c>
      <c r="H27" s="301" t="e">
        <f>'Customs Invoice'!C27</f>
        <v>#N/A</v>
      </c>
      <c r="I27" s="303">
        <f>'Customs Invoice'!G27</f>
        <v>0</v>
      </c>
      <c r="J27" s="304" t="e">
        <f>'Customs Invoice'!H27</f>
        <v>#N/A</v>
      </c>
      <c r="K27" s="305">
        <f>'Customs Invoice'!P27</f>
        <v>0</v>
      </c>
      <c r="L27" s="305">
        <f>'Customs Invoice'!N27</f>
        <v>0</v>
      </c>
      <c r="M27" s="306">
        <f>'Customs Invoice'!M27</f>
        <v>0</v>
      </c>
      <c r="N27" s="235"/>
      <c r="O27" s="308"/>
      <c r="P27" s="299"/>
      <c r="Q27" s="234"/>
      <c r="R27" s="235"/>
      <c r="S27" s="235"/>
      <c r="T27" s="235"/>
      <c r="U27" s="235"/>
      <c r="V27" s="235"/>
      <c r="W27" s="235"/>
      <c r="X27" s="235"/>
      <c r="Y27" s="235"/>
      <c r="Z27" s="235"/>
    </row>
    <row r="28" spans="1:27" ht="20" customHeight="1">
      <c r="A28" s="262"/>
      <c r="B28" s="503"/>
      <c r="C28" s="300" t="e">
        <f>'Customs Invoice'!E28</f>
        <v>#N/A</v>
      </c>
      <c r="D28" s="300">
        <v>8</v>
      </c>
      <c r="E28" s="302">
        <f>'Customs Invoice'!J28</f>
        <v>0</v>
      </c>
      <c r="F28" s="302">
        <f>'Customs Invoice'!I28</f>
        <v>0</v>
      </c>
      <c r="G28" s="301" t="s">
        <v>162</v>
      </c>
      <c r="H28" s="301" t="e">
        <f>'Customs Invoice'!C28</f>
        <v>#N/A</v>
      </c>
      <c r="I28" s="303">
        <f>'Customs Invoice'!G28</f>
        <v>0</v>
      </c>
      <c r="J28" s="304" t="e">
        <f>'Customs Invoice'!H28</f>
        <v>#N/A</v>
      </c>
      <c r="K28" s="305">
        <f>'Customs Invoice'!P28</f>
        <v>0</v>
      </c>
      <c r="L28" s="305">
        <f>'Customs Invoice'!N28</f>
        <v>0</v>
      </c>
      <c r="M28" s="306">
        <f>'Customs Invoice'!M28</f>
        <v>0</v>
      </c>
      <c r="N28" s="235"/>
      <c r="O28" s="308"/>
      <c r="P28" s="299"/>
      <c r="Q28" s="234"/>
      <c r="R28" s="235"/>
      <c r="S28" s="235"/>
      <c r="T28" s="235"/>
      <c r="U28" s="235"/>
      <c r="V28" s="235"/>
      <c r="W28" s="235"/>
      <c r="X28" s="235"/>
      <c r="Y28" s="235"/>
      <c r="Z28" s="235"/>
    </row>
    <row r="29" spans="1:27" ht="20" customHeight="1">
      <c r="A29" s="262"/>
      <c r="B29" s="503"/>
      <c r="C29" s="300" t="e">
        <f>'Customs Invoice'!E29</f>
        <v>#N/A</v>
      </c>
      <c r="D29" s="300">
        <v>9</v>
      </c>
      <c r="E29" s="302">
        <f>'Customs Invoice'!J29</f>
        <v>0</v>
      </c>
      <c r="F29" s="302">
        <f>'Customs Invoice'!I29</f>
        <v>0</v>
      </c>
      <c r="G29" s="301" t="s">
        <v>162</v>
      </c>
      <c r="H29" s="301" t="e">
        <f>'Customs Invoice'!C29</f>
        <v>#N/A</v>
      </c>
      <c r="I29" s="303">
        <f>'Customs Invoice'!G29</f>
        <v>0</v>
      </c>
      <c r="J29" s="304" t="e">
        <f>'Customs Invoice'!H29</f>
        <v>#N/A</v>
      </c>
      <c r="K29" s="305">
        <f>'Customs Invoice'!P29</f>
        <v>0</v>
      </c>
      <c r="L29" s="305">
        <f>'Customs Invoice'!N29</f>
        <v>0</v>
      </c>
      <c r="M29" s="306">
        <f>'Customs Invoice'!M29</f>
        <v>0</v>
      </c>
      <c r="N29" s="235"/>
      <c r="O29" s="308"/>
      <c r="P29" s="299"/>
      <c r="Q29" s="234"/>
      <c r="R29" s="235"/>
      <c r="S29" s="235"/>
      <c r="T29" s="235"/>
      <c r="U29" s="235"/>
      <c r="V29" s="235"/>
      <c r="W29" s="235"/>
      <c r="X29" s="235"/>
      <c r="Y29" s="235"/>
      <c r="Z29" s="235"/>
    </row>
    <row r="30" spans="1:27" ht="20" customHeight="1">
      <c r="A30" s="262"/>
      <c r="B30" s="503"/>
      <c r="C30" s="300" t="e">
        <f>'Customs Invoice'!E30</f>
        <v>#N/A</v>
      </c>
      <c r="D30" s="300">
        <v>10</v>
      </c>
      <c r="E30" s="302">
        <f>'Customs Invoice'!J30</f>
        <v>0</v>
      </c>
      <c r="F30" s="302">
        <f>'Customs Invoice'!I30</f>
        <v>0</v>
      </c>
      <c r="G30" s="301" t="s">
        <v>162</v>
      </c>
      <c r="H30" s="301" t="e">
        <f>'Customs Invoice'!C30</f>
        <v>#N/A</v>
      </c>
      <c r="I30" s="303">
        <f>'Customs Invoice'!G30</f>
        <v>0</v>
      </c>
      <c r="J30" s="304" t="e">
        <f>'Customs Invoice'!H30</f>
        <v>#N/A</v>
      </c>
      <c r="K30" s="305">
        <f>'Customs Invoice'!P30</f>
        <v>0</v>
      </c>
      <c r="L30" s="305">
        <f>'Customs Invoice'!N30</f>
        <v>0</v>
      </c>
      <c r="M30" s="306">
        <f>'Customs Invoice'!M30</f>
        <v>0</v>
      </c>
      <c r="N30" s="248"/>
      <c r="O30" s="308"/>
      <c r="P30" s="299"/>
      <c r="Q30" s="234"/>
      <c r="R30" s="235"/>
      <c r="S30" s="235"/>
      <c r="T30" s="235"/>
      <c r="U30" s="235"/>
      <c r="V30" s="235"/>
      <c r="W30" s="235"/>
      <c r="X30" s="235"/>
      <c r="Y30" s="235"/>
      <c r="Z30" s="235"/>
    </row>
    <row r="31" spans="1:27" s="312" customFormat="1" ht="39.5" customHeight="1">
      <c r="A31" s="233"/>
      <c r="B31" s="309"/>
      <c r="C31" s="233"/>
      <c r="D31" s="233"/>
      <c r="E31" s="331" t="e">
        <f>SUM(E21:E30)</f>
        <v>#DIV/0!</v>
      </c>
      <c r="F31" s="331">
        <f>SUM(F21:F30)</f>
        <v>0</v>
      </c>
      <c r="G31" s="233"/>
      <c r="H31" s="233"/>
      <c r="I31" s="497">
        <f>SUM(I21:I30)</f>
        <v>0</v>
      </c>
      <c r="J31" s="497"/>
      <c r="K31" s="332">
        <f>SUM(K21:K30)</f>
        <v>0</v>
      </c>
      <c r="L31" s="332">
        <f>SUM(L21:L30)</f>
        <v>0</v>
      </c>
      <c r="M31" s="332">
        <f>SUM(M21:M30)</f>
        <v>0</v>
      </c>
      <c r="N31" s="355"/>
      <c r="O31" s="310"/>
      <c r="P31" s="310"/>
      <c r="Q31" s="311"/>
      <c r="R31" s="298"/>
      <c r="S31" s="233"/>
      <c r="T31" s="233"/>
      <c r="U31" s="233"/>
      <c r="V31" s="233"/>
      <c r="W31" s="233"/>
      <c r="X31" s="233"/>
      <c r="Y31" s="233"/>
      <c r="Z31" s="233"/>
      <c r="AA31" s="233"/>
    </row>
    <row r="32" spans="1:27" ht="38" customHeight="1">
      <c r="A32" s="262"/>
      <c r="B32" s="313"/>
      <c r="C32" s="313"/>
      <c r="D32" s="313"/>
      <c r="E32" s="314"/>
      <c r="F32" s="314"/>
      <c r="G32" s="315"/>
      <c r="H32" s="313"/>
      <c r="I32" s="316"/>
      <c r="J32" s="316"/>
      <c r="K32" s="317"/>
      <c r="L32" s="313"/>
      <c r="M32" s="313"/>
      <c r="N32" s="313"/>
      <c r="O32" s="318"/>
      <c r="P32" s="318"/>
      <c r="Q32" s="299"/>
      <c r="R32" s="234"/>
      <c r="S32" s="235"/>
      <c r="T32" s="235"/>
      <c r="U32" s="235"/>
      <c r="V32" s="235"/>
      <c r="W32" s="235"/>
      <c r="X32" s="235"/>
      <c r="Y32" s="235"/>
      <c r="Z32" s="235"/>
      <c r="AA32" s="235"/>
    </row>
    <row r="33" spans="1:27" ht="50.5" customHeight="1">
      <c r="A33" s="313"/>
      <c r="B33" s="313"/>
      <c r="C33" s="319"/>
      <c r="D33" s="313"/>
      <c r="E33" s="313"/>
      <c r="F33" s="353" t="s">
        <v>156</v>
      </c>
      <c r="G33" s="353" t="s">
        <v>153</v>
      </c>
      <c r="H33" s="353" t="s">
        <v>154</v>
      </c>
      <c r="I33" s="496" t="s">
        <v>163</v>
      </c>
      <c r="J33" s="496"/>
      <c r="K33" s="354" t="s">
        <v>158</v>
      </c>
      <c r="L33" s="354" t="s">
        <v>159</v>
      </c>
      <c r="M33" s="354" t="s">
        <v>160</v>
      </c>
      <c r="N33" s="313"/>
      <c r="O33" s="295"/>
      <c r="P33" s="320"/>
      <c r="Q33" s="320"/>
      <c r="R33" s="313"/>
      <c r="S33" s="313"/>
      <c r="T33" s="313"/>
      <c r="U33" s="313"/>
      <c r="V33" s="313"/>
      <c r="W33" s="313"/>
      <c r="X33" s="313"/>
      <c r="Y33" s="313"/>
      <c r="Z33" s="313"/>
    </row>
    <row r="34" spans="1:27" ht="21" customHeight="1">
      <c r="A34" s="262"/>
      <c r="B34" s="233"/>
      <c r="C34" s="235"/>
      <c r="D34" s="235"/>
      <c r="E34" s="321" t="e">
        <f>C21</f>
        <v>#N/A</v>
      </c>
      <c r="F34" s="322" t="e">
        <f>H21</f>
        <v>#N/A</v>
      </c>
      <c r="G34" s="323" t="e">
        <f>E21</f>
        <v>#DIV/0!</v>
      </c>
      <c r="H34" s="323">
        <f>F21</f>
        <v>0</v>
      </c>
      <c r="I34" s="324">
        <f>I21</f>
        <v>0</v>
      </c>
      <c r="J34" s="325" t="e">
        <f>J21</f>
        <v>#N/A</v>
      </c>
      <c r="K34" s="326">
        <f>K21</f>
        <v>0</v>
      </c>
      <c r="L34" s="326">
        <f>L21</f>
        <v>0</v>
      </c>
      <c r="M34" s="327">
        <f>M21</f>
        <v>0</v>
      </c>
      <c r="N34" s="235"/>
      <c r="O34" s="328"/>
      <c r="P34" s="298"/>
      <c r="Q34" s="234"/>
      <c r="R34" s="235"/>
      <c r="S34" s="235"/>
      <c r="T34" s="235"/>
      <c r="U34" s="235"/>
      <c r="V34" s="235"/>
      <c r="W34" s="235"/>
      <c r="X34" s="235"/>
      <c r="Y34" s="235"/>
      <c r="Z34" s="235"/>
    </row>
    <row r="35" spans="1:27" ht="21" customHeight="1">
      <c r="A35" s="262"/>
      <c r="B35" s="233"/>
      <c r="C35" s="235"/>
      <c r="D35" s="235"/>
      <c r="E35" s="321" t="e">
        <f t="shared" ref="E35:E43" si="0">C22</f>
        <v>#N/A</v>
      </c>
      <c r="F35" s="329" t="e">
        <f t="shared" ref="F35:F43" si="1">H22</f>
        <v>#N/A</v>
      </c>
      <c r="G35" s="302">
        <f t="shared" ref="G35:H43" si="2">E22</f>
        <v>0</v>
      </c>
      <c r="H35" s="302">
        <f t="shared" si="2"/>
        <v>0</v>
      </c>
      <c r="I35" s="303">
        <f t="shared" ref="I35:M43" si="3">I22</f>
        <v>0</v>
      </c>
      <c r="J35" s="304" t="e">
        <f t="shared" si="3"/>
        <v>#N/A</v>
      </c>
      <c r="K35" s="305">
        <f t="shared" si="3"/>
        <v>0</v>
      </c>
      <c r="L35" s="305">
        <f t="shared" si="3"/>
        <v>0</v>
      </c>
      <c r="M35" s="306">
        <f t="shared" si="3"/>
        <v>0</v>
      </c>
      <c r="N35" s="235"/>
      <c r="O35" s="328"/>
      <c r="P35" s="298"/>
      <c r="Q35" s="234"/>
      <c r="R35" s="235"/>
      <c r="S35" s="235"/>
      <c r="T35" s="235"/>
      <c r="U35" s="235"/>
      <c r="V35" s="235"/>
      <c r="W35" s="235"/>
      <c r="X35" s="235"/>
      <c r="Y35" s="235"/>
      <c r="Z35" s="235"/>
    </row>
    <row r="36" spans="1:27" ht="21" customHeight="1">
      <c r="A36" s="262"/>
      <c r="B36" s="233"/>
      <c r="C36" s="235"/>
      <c r="D36" s="235"/>
      <c r="E36" s="321" t="e">
        <f t="shared" si="0"/>
        <v>#N/A</v>
      </c>
      <c r="F36" s="329" t="e">
        <f t="shared" si="1"/>
        <v>#N/A</v>
      </c>
      <c r="G36" s="302">
        <f t="shared" si="2"/>
        <v>0</v>
      </c>
      <c r="H36" s="302">
        <f t="shared" si="2"/>
        <v>0</v>
      </c>
      <c r="I36" s="303">
        <f t="shared" si="3"/>
        <v>0</v>
      </c>
      <c r="J36" s="304" t="e">
        <f t="shared" si="3"/>
        <v>#N/A</v>
      </c>
      <c r="K36" s="305">
        <f t="shared" si="3"/>
        <v>0</v>
      </c>
      <c r="L36" s="305">
        <f t="shared" si="3"/>
        <v>0</v>
      </c>
      <c r="M36" s="306">
        <f t="shared" si="3"/>
        <v>0</v>
      </c>
      <c r="N36" s="235"/>
      <c r="O36" s="328"/>
      <c r="P36" s="298"/>
      <c r="Q36" s="234"/>
      <c r="R36" s="235"/>
      <c r="S36" s="235"/>
      <c r="T36" s="235"/>
      <c r="U36" s="235"/>
      <c r="V36" s="235"/>
      <c r="W36" s="235"/>
      <c r="X36" s="235"/>
      <c r="Y36" s="235"/>
      <c r="Z36" s="235"/>
    </row>
    <row r="37" spans="1:27" ht="21" customHeight="1">
      <c r="A37" s="262"/>
      <c r="B37" s="233"/>
      <c r="C37" s="235"/>
      <c r="D37" s="235"/>
      <c r="E37" s="321" t="e">
        <f t="shared" si="0"/>
        <v>#N/A</v>
      </c>
      <c r="F37" s="329" t="e">
        <f t="shared" si="1"/>
        <v>#N/A</v>
      </c>
      <c r="G37" s="302">
        <f t="shared" si="2"/>
        <v>0</v>
      </c>
      <c r="H37" s="302">
        <f t="shared" si="2"/>
        <v>0</v>
      </c>
      <c r="I37" s="303">
        <f t="shared" si="3"/>
        <v>0</v>
      </c>
      <c r="J37" s="304" t="e">
        <f t="shared" si="3"/>
        <v>#N/A</v>
      </c>
      <c r="K37" s="305">
        <f t="shared" si="3"/>
        <v>0</v>
      </c>
      <c r="L37" s="305">
        <f t="shared" si="3"/>
        <v>0</v>
      </c>
      <c r="M37" s="306">
        <f t="shared" si="3"/>
        <v>0</v>
      </c>
      <c r="N37" s="235"/>
      <c r="O37" s="328"/>
      <c r="P37" s="298"/>
      <c r="Q37" s="234"/>
      <c r="R37" s="235"/>
      <c r="S37" s="235"/>
      <c r="T37" s="235"/>
      <c r="U37" s="235"/>
      <c r="V37" s="235"/>
      <c r="W37" s="235"/>
      <c r="X37" s="235"/>
      <c r="Y37" s="235"/>
      <c r="Z37" s="235"/>
    </row>
    <row r="38" spans="1:27" ht="21" customHeight="1">
      <c r="A38" s="262"/>
      <c r="B38" s="233"/>
      <c r="C38" s="235"/>
      <c r="D38" s="235"/>
      <c r="E38" s="321" t="e">
        <f t="shared" si="0"/>
        <v>#N/A</v>
      </c>
      <c r="F38" s="329" t="e">
        <f t="shared" si="1"/>
        <v>#N/A</v>
      </c>
      <c r="G38" s="302">
        <f t="shared" si="2"/>
        <v>0</v>
      </c>
      <c r="H38" s="302">
        <f t="shared" si="2"/>
        <v>0</v>
      </c>
      <c r="I38" s="303">
        <f t="shared" si="3"/>
        <v>0</v>
      </c>
      <c r="J38" s="304" t="e">
        <f t="shared" si="3"/>
        <v>#N/A</v>
      </c>
      <c r="K38" s="305">
        <f t="shared" si="3"/>
        <v>0</v>
      </c>
      <c r="L38" s="305">
        <f t="shared" si="3"/>
        <v>0</v>
      </c>
      <c r="M38" s="306">
        <f t="shared" si="3"/>
        <v>0</v>
      </c>
      <c r="N38" s="235"/>
      <c r="O38" s="328"/>
      <c r="P38" s="298"/>
      <c r="Q38" s="234"/>
      <c r="R38" s="235"/>
      <c r="S38" s="235"/>
      <c r="T38" s="235"/>
      <c r="U38" s="235"/>
      <c r="V38" s="235"/>
      <c r="W38" s="235"/>
      <c r="X38" s="235"/>
      <c r="Y38" s="235"/>
      <c r="Z38" s="235"/>
    </row>
    <row r="39" spans="1:27" ht="21" customHeight="1">
      <c r="A39" s="262"/>
      <c r="B39" s="233"/>
      <c r="C39" s="235"/>
      <c r="D39" s="235"/>
      <c r="E39" s="321" t="e">
        <f t="shared" si="0"/>
        <v>#N/A</v>
      </c>
      <c r="F39" s="329" t="e">
        <f t="shared" si="1"/>
        <v>#N/A</v>
      </c>
      <c r="G39" s="302">
        <f t="shared" si="2"/>
        <v>0</v>
      </c>
      <c r="H39" s="302">
        <f t="shared" si="2"/>
        <v>0</v>
      </c>
      <c r="I39" s="303">
        <f t="shared" si="3"/>
        <v>0</v>
      </c>
      <c r="J39" s="304" t="e">
        <f t="shared" si="3"/>
        <v>#N/A</v>
      </c>
      <c r="K39" s="305">
        <f t="shared" si="3"/>
        <v>0</v>
      </c>
      <c r="L39" s="305">
        <f t="shared" si="3"/>
        <v>0</v>
      </c>
      <c r="M39" s="306">
        <f t="shared" si="3"/>
        <v>0</v>
      </c>
      <c r="N39" s="235"/>
      <c r="O39" s="328"/>
      <c r="P39" s="298"/>
      <c r="Q39" s="234"/>
      <c r="R39" s="235"/>
      <c r="S39" s="235"/>
      <c r="T39" s="235"/>
      <c r="U39" s="235"/>
      <c r="V39" s="235"/>
      <c r="W39" s="235"/>
      <c r="X39" s="235"/>
      <c r="Y39" s="235"/>
      <c r="Z39" s="235"/>
    </row>
    <row r="40" spans="1:27" ht="21" customHeight="1">
      <c r="A40" s="262"/>
      <c r="B40" s="233"/>
      <c r="C40" s="235"/>
      <c r="D40" s="235"/>
      <c r="E40" s="321" t="e">
        <f t="shared" si="0"/>
        <v>#N/A</v>
      </c>
      <c r="F40" s="329" t="e">
        <f t="shared" si="1"/>
        <v>#N/A</v>
      </c>
      <c r="G40" s="302">
        <f t="shared" si="2"/>
        <v>0</v>
      </c>
      <c r="H40" s="302">
        <f t="shared" si="2"/>
        <v>0</v>
      </c>
      <c r="I40" s="303">
        <f t="shared" si="3"/>
        <v>0</v>
      </c>
      <c r="J40" s="304" t="e">
        <f t="shared" si="3"/>
        <v>#N/A</v>
      </c>
      <c r="K40" s="305">
        <f t="shared" si="3"/>
        <v>0</v>
      </c>
      <c r="L40" s="305">
        <f t="shared" si="3"/>
        <v>0</v>
      </c>
      <c r="M40" s="306">
        <f t="shared" si="3"/>
        <v>0</v>
      </c>
      <c r="N40" s="235"/>
      <c r="O40" s="328"/>
      <c r="P40" s="298"/>
      <c r="Q40" s="234"/>
      <c r="R40" s="235"/>
      <c r="S40" s="235"/>
      <c r="T40" s="235"/>
      <c r="U40" s="235"/>
      <c r="V40" s="235"/>
      <c r="W40" s="235"/>
      <c r="X40" s="235"/>
      <c r="Y40" s="235"/>
      <c r="Z40" s="235"/>
    </row>
    <row r="41" spans="1:27" ht="21" customHeight="1">
      <c r="A41" s="262"/>
      <c r="B41" s="233"/>
      <c r="C41" s="235"/>
      <c r="D41" s="235"/>
      <c r="E41" s="321" t="e">
        <f t="shared" si="0"/>
        <v>#N/A</v>
      </c>
      <c r="F41" s="329" t="e">
        <f t="shared" si="1"/>
        <v>#N/A</v>
      </c>
      <c r="G41" s="302">
        <f t="shared" si="2"/>
        <v>0</v>
      </c>
      <c r="H41" s="302">
        <f t="shared" si="2"/>
        <v>0</v>
      </c>
      <c r="I41" s="303">
        <f t="shared" si="3"/>
        <v>0</v>
      </c>
      <c r="J41" s="304" t="e">
        <f t="shared" si="3"/>
        <v>#N/A</v>
      </c>
      <c r="K41" s="305">
        <f>K28</f>
        <v>0</v>
      </c>
      <c r="L41" s="305">
        <f>L28</f>
        <v>0</v>
      </c>
      <c r="M41" s="306">
        <f t="shared" si="3"/>
        <v>0</v>
      </c>
      <c r="N41" s="235"/>
      <c r="O41" s="328"/>
      <c r="P41" s="298"/>
      <c r="Q41" s="234"/>
      <c r="R41" s="235"/>
      <c r="S41" s="235"/>
      <c r="T41" s="235"/>
      <c r="U41" s="235"/>
      <c r="V41" s="235"/>
      <c r="W41" s="235"/>
      <c r="X41" s="235"/>
      <c r="Y41" s="235"/>
      <c r="Z41" s="235"/>
    </row>
    <row r="42" spans="1:27" ht="21" customHeight="1">
      <c r="A42" s="262"/>
      <c r="B42" s="233"/>
      <c r="C42" s="235"/>
      <c r="D42" s="235"/>
      <c r="E42" s="321" t="e">
        <f t="shared" si="0"/>
        <v>#N/A</v>
      </c>
      <c r="F42" s="329" t="e">
        <f t="shared" si="1"/>
        <v>#N/A</v>
      </c>
      <c r="G42" s="302">
        <f t="shared" si="2"/>
        <v>0</v>
      </c>
      <c r="H42" s="302">
        <f t="shared" si="2"/>
        <v>0</v>
      </c>
      <c r="I42" s="303">
        <f t="shared" si="3"/>
        <v>0</v>
      </c>
      <c r="J42" s="304" t="e">
        <f t="shared" si="3"/>
        <v>#N/A</v>
      </c>
      <c r="K42" s="305">
        <f>K29</f>
        <v>0</v>
      </c>
      <c r="L42" s="305">
        <f>L29</f>
        <v>0</v>
      </c>
      <c r="M42" s="306">
        <f t="shared" si="3"/>
        <v>0</v>
      </c>
      <c r="N42" s="235"/>
      <c r="O42" s="328"/>
      <c r="P42" s="298"/>
      <c r="Q42" s="234"/>
      <c r="R42" s="235"/>
      <c r="S42" s="235"/>
      <c r="T42" s="235"/>
      <c r="U42" s="235"/>
      <c r="V42" s="235"/>
      <c r="W42" s="235"/>
      <c r="X42" s="235"/>
      <c r="Y42" s="235"/>
      <c r="Z42" s="235"/>
    </row>
    <row r="43" spans="1:27" ht="21" customHeight="1">
      <c r="A43" s="262"/>
      <c r="B43" s="233"/>
      <c r="C43" s="235"/>
      <c r="D43" s="235"/>
      <c r="E43" s="321" t="e">
        <f t="shared" si="0"/>
        <v>#N/A</v>
      </c>
      <c r="F43" s="329" t="e">
        <f t="shared" si="1"/>
        <v>#N/A</v>
      </c>
      <c r="G43" s="302">
        <f t="shared" si="2"/>
        <v>0</v>
      </c>
      <c r="H43" s="302">
        <f t="shared" si="2"/>
        <v>0</v>
      </c>
      <c r="I43" s="303">
        <f t="shared" si="3"/>
        <v>0</v>
      </c>
      <c r="J43" s="304" t="e">
        <f>J28</f>
        <v>#N/A</v>
      </c>
      <c r="K43" s="305">
        <f>K28</f>
        <v>0</v>
      </c>
      <c r="L43" s="305">
        <f>L28</f>
        <v>0</v>
      </c>
      <c r="M43" s="306">
        <f t="shared" si="3"/>
        <v>0</v>
      </c>
      <c r="N43" s="235"/>
      <c r="O43" s="328"/>
      <c r="P43" s="298"/>
      <c r="Q43" s="234"/>
      <c r="R43" s="235"/>
      <c r="S43" s="235"/>
      <c r="T43" s="235"/>
      <c r="U43" s="235"/>
      <c r="V43" s="235"/>
      <c r="W43" s="235"/>
      <c r="X43" s="235"/>
      <c r="Y43" s="235"/>
      <c r="Z43" s="235"/>
    </row>
    <row r="44" spans="1:27" ht="39.5" customHeight="1">
      <c r="A44" s="262"/>
      <c r="B44" s="233"/>
      <c r="C44" s="330"/>
      <c r="D44" s="236"/>
      <c r="E44" s="236"/>
      <c r="G44" s="331" t="e">
        <f>SUM(G34:G43)</f>
        <v>#DIV/0!</v>
      </c>
      <c r="H44" s="331">
        <f>SUM(H34:H43)</f>
        <v>0</v>
      </c>
      <c r="I44" s="497">
        <f>SUM(I34:I43)</f>
        <v>0</v>
      </c>
      <c r="J44" s="497"/>
      <c r="K44" s="332">
        <f>SUM(K34:K43)</f>
        <v>0</v>
      </c>
      <c r="L44" s="332">
        <f>SUM(L34:L43)</f>
        <v>0</v>
      </c>
      <c r="M44" s="332">
        <f>SUM(M34:M43)</f>
        <v>0</v>
      </c>
      <c r="N44" s="235"/>
      <c r="O44" s="235"/>
      <c r="P44" s="298"/>
      <c r="Q44" s="234"/>
      <c r="R44" s="235"/>
      <c r="S44" s="235"/>
      <c r="T44" s="235"/>
      <c r="U44" s="235"/>
      <c r="V44" s="235"/>
      <c r="W44" s="235"/>
      <c r="X44" s="235"/>
      <c r="Y44" s="235"/>
      <c r="Z44" s="235"/>
    </row>
    <row r="45" spans="1:27" ht="26.5" hidden="1" customHeight="1">
      <c r="A45" s="262"/>
      <c r="B45" s="233"/>
      <c r="C45" s="330"/>
      <c r="D45" s="233"/>
      <c r="E45" s="236"/>
      <c r="F45" s="313"/>
      <c r="G45" s="333"/>
      <c r="H45" s="334"/>
      <c r="I45" s="334"/>
      <c r="J45" s="334"/>
      <c r="K45" s="335"/>
      <c r="L45" s="336" t="s">
        <v>164</v>
      </c>
      <c r="M45" s="337">
        <v>0</v>
      </c>
      <c r="N45" s="335"/>
      <c r="O45" s="335"/>
      <c r="P45" s="298"/>
      <c r="Q45" s="234"/>
      <c r="R45" s="235"/>
      <c r="S45" s="235"/>
      <c r="T45" s="235"/>
      <c r="U45" s="235"/>
      <c r="V45" s="235"/>
      <c r="W45" s="235"/>
      <c r="X45" s="235"/>
      <c r="Y45" s="235"/>
      <c r="Z45" s="235"/>
    </row>
    <row r="46" spans="1:27" ht="26.5" customHeight="1">
      <c r="A46" s="262"/>
      <c r="B46" s="233"/>
      <c r="C46" s="330"/>
      <c r="D46" s="233"/>
      <c r="E46" s="236"/>
      <c r="F46" s="313"/>
      <c r="G46" s="333"/>
      <c r="H46" s="334"/>
      <c r="I46" s="334"/>
      <c r="J46" s="334"/>
      <c r="K46" s="334"/>
      <c r="L46" s="336" t="s">
        <v>165</v>
      </c>
      <c r="M46" s="337">
        <v>30</v>
      </c>
      <c r="N46" s="335"/>
      <c r="O46" s="335"/>
      <c r="P46" s="298"/>
      <c r="Q46" s="234"/>
      <c r="R46" s="235"/>
      <c r="S46" s="235"/>
      <c r="T46" s="235"/>
      <c r="U46" s="235"/>
      <c r="V46" s="235"/>
      <c r="W46" s="235"/>
      <c r="X46" s="235"/>
      <c r="Y46" s="235"/>
      <c r="Z46" s="235"/>
    </row>
    <row r="47" spans="1:27" ht="42" customHeight="1">
      <c r="A47" s="262"/>
      <c r="B47" s="235"/>
      <c r="C47" s="330"/>
      <c r="D47" s="338"/>
      <c r="E47" s="338"/>
      <c r="F47" s="338"/>
      <c r="G47" s="338"/>
      <c r="H47" s="338"/>
      <c r="I47" s="338"/>
      <c r="J47" s="338"/>
      <c r="K47" s="338"/>
      <c r="L47" s="335"/>
      <c r="M47" s="339">
        <f>SUM(M44:M46)</f>
        <v>30</v>
      </c>
      <c r="N47" s="338"/>
      <c r="O47" s="338"/>
      <c r="P47" s="338"/>
      <c r="Q47" s="298"/>
      <c r="R47" s="234"/>
      <c r="S47" s="235"/>
      <c r="T47" s="235"/>
      <c r="U47" s="235"/>
      <c r="V47" s="235"/>
      <c r="W47" s="235"/>
      <c r="X47" s="235"/>
      <c r="Y47" s="235"/>
      <c r="Z47" s="235"/>
      <c r="AA47" s="235"/>
    </row>
    <row r="48" spans="1:27" ht="23.25" customHeight="1">
      <c r="A48" s="235"/>
      <c r="B48" s="233"/>
      <c r="C48" s="340"/>
      <c r="D48" s="338"/>
      <c r="E48" s="338"/>
      <c r="F48" s="338"/>
      <c r="G48" s="338"/>
      <c r="H48" s="338"/>
      <c r="I48" s="338"/>
      <c r="J48" s="338"/>
      <c r="K48" s="338"/>
      <c r="L48" s="338"/>
      <c r="M48" s="335"/>
      <c r="N48" s="338"/>
      <c r="O48" s="338"/>
      <c r="P48" s="338"/>
      <c r="Q48" s="298"/>
      <c r="R48" s="234"/>
      <c r="S48" s="235"/>
      <c r="T48" s="235"/>
      <c r="U48" s="235"/>
      <c r="V48" s="235"/>
      <c r="W48" s="235"/>
      <c r="X48" s="235"/>
      <c r="Y48" s="235"/>
      <c r="Z48" s="235"/>
      <c r="AA48" s="235"/>
    </row>
    <row r="49" spans="1:27" ht="23.25" customHeight="1">
      <c r="A49" s="235"/>
      <c r="B49" s="233"/>
      <c r="C49" s="233"/>
      <c r="D49" s="338"/>
      <c r="E49" s="338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298"/>
      <c r="R49" s="234"/>
      <c r="S49" s="235"/>
      <c r="T49" s="235"/>
      <c r="U49" s="235"/>
      <c r="V49" s="235"/>
      <c r="W49" s="235"/>
      <c r="X49" s="235"/>
      <c r="Y49" s="235"/>
      <c r="Z49" s="235"/>
      <c r="AA49" s="235"/>
    </row>
    <row r="50" spans="1:27" ht="23.25" customHeight="1">
      <c r="A50" s="235"/>
      <c r="B50" s="233"/>
      <c r="C50" s="233"/>
      <c r="D50" s="338"/>
      <c r="E50" s="338"/>
      <c r="F50" s="338"/>
      <c r="G50" s="338"/>
      <c r="H50" s="349" t="s">
        <v>50</v>
      </c>
      <c r="I50" s="338"/>
      <c r="J50" s="338"/>
      <c r="K50" s="338"/>
      <c r="L50" s="338"/>
      <c r="M50" s="338"/>
      <c r="N50" s="338"/>
      <c r="O50" s="338"/>
      <c r="P50" s="338"/>
      <c r="Q50" s="298"/>
      <c r="R50" s="234"/>
      <c r="S50" s="235"/>
      <c r="T50" s="235"/>
      <c r="U50" s="235"/>
      <c r="V50" s="235"/>
      <c r="W50" s="235"/>
      <c r="X50" s="235"/>
      <c r="Y50" s="235"/>
      <c r="Z50" s="235"/>
      <c r="AA50" s="235"/>
    </row>
    <row r="51" spans="1:27" ht="10.5" customHeight="1">
      <c r="A51" s="235"/>
      <c r="B51" s="233"/>
      <c r="C51" s="233"/>
      <c r="D51" s="338"/>
      <c r="E51" s="338"/>
      <c r="F51" s="338"/>
      <c r="G51" s="338"/>
      <c r="H51" s="338"/>
      <c r="I51" s="338"/>
      <c r="J51" s="338"/>
      <c r="K51" s="341"/>
      <c r="L51" s="338"/>
      <c r="M51" s="338"/>
      <c r="N51" s="338"/>
      <c r="O51" s="338"/>
      <c r="P51" s="338"/>
      <c r="Q51" s="298"/>
      <c r="R51" s="234"/>
      <c r="S51" s="235"/>
      <c r="T51" s="235"/>
      <c r="U51" s="235"/>
      <c r="V51" s="235"/>
      <c r="W51" s="235"/>
      <c r="X51" s="235"/>
      <c r="Y51" s="235"/>
      <c r="Z51" s="235"/>
      <c r="AA51" s="235"/>
    </row>
    <row r="52" spans="1:27" ht="10.5" customHeight="1">
      <c r="A52" s="342"/>
      <c r="B52" s="233"/>
      <c r="C52" s="233"/>
      <c r="D52" s="262"/>
      <c r="E52" s="262"/>
      <c r="F52" s="236"/>
      <c r="G52" s="236"/>
      <c r="H52" s="343"/>
      <c r="I52" s="334"/>
      <c r="J52" s="334"/>
      <c r="K52" s="341"/>
      <c r="L52" s="338"/>
      <c r="M52" s="338"/>
      <c r="N52" s="341"/>
      <c r="O52" s="344"/>
      <c r="P52" s="344"/>
      <c r="Q52" s="298"/>
      <c r="R52" s="234"/>
      <c r="S52" s="235"/>
      <c r="T52" s="235"/>
      <c r="U52" s="235"/>
      <c r="V52" s="235"/>
      <c r="W52" s="235"/>
      <c r="X52" s="235"/>
      <c r="Y52" s="235"/>
      <c r="Z52" s="235"/>
      <c r="AA52" s="235"/>
    </row>
    <row r="53" spans="1:27" ht="10.5" customHeight="1">
      <c r="A53" s="342"/>
      <c r="B53" s="233"/>
      <c r="C53" s="233"/>
      <c r="D53" s="262"/>
      <c r="E53" s="262"/>
      <c r="F53" s="236"/>
      <c r="G53" s="236"/>
      <c r="H53" s="343"/>
      <c r="I53" s="345"/>
      <c r="J53" s="345"/>
      <c r="K53" s="334"/>
      <c r="L53" s="341"/>
      <c r="M53" s="338"/>
      <c r="N53" s="235"/>
      <c r="O53" s="344"/>
      <c r="P53" s="344"/>
      <c r="Q53" s="298"/>
      <c r="R53" s="234"/>
      <c r="S53" s="235"/>
      <c r="T53" s="235"/>
      <c r="U53" s="235"/>
      <c r="V53" s="235"/>
      <c r="W53" s="235"/>
      <c r="X53" s="235"/>
      <c r="Y53" s="235"/>
      <c r="Z53" s="235"/>
      <c r="AA53" s="235"/>
    </row>
    <row r="54" spans="1:27" ht="10.5" customHeight="1">
      <c r="A54" s="313"/>
      <c r="B54" s="313"/>
      <c r="C54" s="313"/>
      <c r="D54" s="313"/>
      <c r="E54" s="313"/>
      <c r="F54" s="313"/>
      <c r="G54" s="313"/>
      <c r="I54" s="334"/>
      <c r="J54" s="334"/>
      <c r="K54" s="235"/>
      <c r="L54" s="235"/>
      <c r="M54" s="341"/>
      <c r="N54" s="345"/>
      <c r="O54" s="346"/>
      <c r="P54" s="346"/>
      <c r="Q54" s="298"/>
      <c r="R54" s="234"/>
      <c r="S54" s="235"/>
      <c r="T54" s="235"/>
      <c r="U54" s="235"/>
      <c r="V54" s="235"/>
      <c r="W54" s="235"/>
      <c r="X54" s="235"/>
      <c r="Y54" s="235"/>
      <c r="Z54" s="235"/>
      <c r="AA54" s="235"/>
    </row>
    <row r="55" spans="1:27" ht="10.5" customHeight="1">
      <c r="A55" s="313"/>
      <c r="B55" s="313"/>
      <c r="C55" s="313"/>
      <c r="D55" s="313"/>
      <c r="E55" s="313"/>
      <c r="F55" s="313"/>
      <c r="G55" s="313"/>
      <c r="H55" s="313"/>
      <c r="I55" s="347"/>
      <c r="J55" s="347"/>
      <c r="K55" s="235"/>
      <c r="L55" s="345"/>
      <c r="M55" s="235"/>
      <c r="N55" s="345"/>
      <c r="O55" s="345"/>
      <c r="P55" s="345"/>
      <c r="Q55" s="298"/>
      <c r="R55" s="234"/>
      <c r="S55" s="235"/>
      <c r="T55" s="235"/>
      <c r="U55" s="235"/>
      <c r="V55" s="235"/>
      <c r="W55" s="235"/>
      <c r="X55" s="235"/>
      <c r="Y55" s="235"/>
      <c r="Z55" s="235"/>
      <c r="AA55" s="235"/>
    </row>
    <row r="56" spans="1:27" ht="10.5" customHeight="1">
      <c r="A56" s="313"/>
      <c r="B56" s="313"/>
      <c r="C56" s="313"/>
      <c r="D56" s="313"/>
      <c r="E56" s="313"/>
      <c r="F56" s="313"/>
      <c r="G56" s="313"/>
      <c r="H56" s="313"/>
      <c r="I56" s="347"/>
      <c r="J56" s="347"/>
      <c r="K56" s="235"/>
      <c r="L56" s="345"/>
      <c r="M56" s="345"/>
      <c r="N56" s="348"/>
      <c r="O56" s="345"/>
      <c r="P56" s="345"/>
      <c r="Q56" s="298"/>
      <c r="R56" s="234"/>
      <c r="S56" s="235"/>
      <c r="T56" s="235"/>
      <c r="U56" s="235"/>
      <c r="V56" s="235"/>
      <c r="W56" s="235"/>
      <c r="X56" s="235"/>
      <c r="Y56" s="235"/>
      <c r="Z56" s="235"/>
      <c r="AA56" s="235"/>
    </row>
    <row r="57" spans="1:27" ht="10.5" customHeight="1">
      <c r="A57" s="313"/>
      <c r="B57" s="313"/>
      <c r="C57" s="313"/>
      <c r="D57" s="313"/>
      <c r="E57" s="313"/>
      <c r="F57" s="313"/>
      <c r="G57" s="313"/>
      <c r="I57" s="347"/>
      <c r="J57" s="347"/>
      <c r="K57" s="235"/>
      <c r="M57" s="345"/>
      <c r="N57" s="235"/>
      <c r="O57" s="345"/>
      <c r="P57" s="345"/>
      <c r="Q57" s="298"/>
      <c r="R57" s="234"/>
      <c r="S57" s="235"/>
      <c r="T57" s="235"/>
      <c r="U57" s="235"/>
      <c r="V57" s="235"/>
      <c r="W57" s="235"/>
      <c r="X57" s="235"/>
      <c r="Y57" s="235"/>
      <c r="Z57" s="235"/>
      <c r="AA57" s="235"/>
    </row>
    <row r="58" spans="1:27" ht="10.5" customHeight="1">
      <c r="A58" s="313"/>
      <c r="B58" s="313"/>
      <c r="C58" s="313"/>
      <c r="D58" s="313"/>
      <c r="E58" s="313"/>
      <c r="F58" s="313"/>
      <c r="G58" s="313"/>
      <c r="H58" s="313"/>
      <c r="I58" s="235"/>
      <c r="J58" s="235"/>
      <c r="K58" s="261"/>
      <c r="L58" s="235"/>
      <c r="M58" s="348"/>
      <c r="N58" s="235"/>
      <c r="O58" s="348"/>
      <c r="P58" s="348"/>
      <c r="Q58" s="298"/>
      <c r="R58" s="234"/>
      <c r="S58" s="235"/>
      <c r="T58" s="235"/>
      <c r="U58" s="235"/>
      <c r="V58" s="235"/>
      <c r="W58" s="235"/>
      <c r="X58" s="235"/>
      <c r="Y58" s="235"/>
      <c r="Z58" s="235"/>
      <c r="AA58" s="235"/>
    </row>
    <row r="59" spans="1:27" ht="15.75" customHeight="1">
      <c r="A59" s="235"/>
      <c r="B59" s="235"/>
      <c r="C59" s="235"/>
      <c r="D59" s="235"/>
      <c r="E59" s="235"/>
      <c r="F59" s="235"/>
      <c r="G59" s="235"/>
      <c r="H59" s="235"/>
      <c r="I59" s="235"/>
      <c r="J59" s="235"/>
      <c r="K59" s="261"/>
      <c r="L59" s="235"/>
      <c r="M59" s="235"/>
      <c r="N59" s="235"/>
      <c r="O59" s="235"/>
      <c r="P59" s="235"/>
      <c r="Q59" s="298"/>
      <c r="R59" s="234"/>
      <c r="S59" s="235"/>
      <c r="T59" s="235"/>
      <c r="U59" s="235"/>
      <c r="V59" s="235"/>
      <c r="W59" s="235"/>
      <c r="X59" s="235"/>
      <c r="Y59" s="235"/>
      <c r="Z59" s="235"/>
      <c r="AA59" s="235"/>
    </row>
    <row r="60" spans="1:27" ht="15.75" customHeight="1">
      <c r="A60" s="235"/>
      <c r="B60" s="235"/>
      <c r="C60" s="235"/>
      <c r="D60" s="235"/>
      <c r="E60" s="235"/>
      <c r="F60" s="235"/>
      <c r="G60" s="235"/>
      <c r="H60" s="235"/>
      <c r="I60" s="235"/>
      <c r="J60" s="235"/>
      <c r="K60" s="261"/>
      <c r="L60" s="235"/>
      <c r="M60" s="235"/>
      <c r="N60" s="235"/>
      <c r="O60" s="235"/>
      <c r="P60" s="235"/>
      <c r="Q60" s="298"/>
      <c r="R60" s="234"/>
      <c r="S60" s="235"/>
      <c r="T60" s="235"/>
      <c r="U60" s="235"/>
      <c r="V60" s="235"/>
      <c r="W60" s="235"/>
      <c r="X60" s="235"/>
      <c r="Y60" s="235"/>
      <c r="Z60" s="235"/>
      <c r="AA60" s="235"/>
    </row>
    <row r="61" spans="1:27" ht="15.75" customHeight="1">
      <c r="A61" s="235"/>
      <c r="B61" s="235"/>
      <c r="C61" s="235"/>
      <c r="D61" s="235"/>
      <c r="E61" s="235"/>
      <c r="F61" s="235"/>
      <c r="G61" s="235"/>
      <c r="H61" s="235"/>
      <c r="I61" s="235"/>
      <c r="J61" s="235"/>
      <c r="K61" s="261"/>
      <c r="L61" s="235"/>
      <c r="M61" s="235"/>
      <c r="N61" s="235"/>
      <c r="O61" s="235"/>
      <c r="P61" s="235"/>
      <c r="Q61" s="298"/>
      <c r="R61" s="234"/>
      <c r="S61" s="235"/>
      <c r="T61" s="235"/>
      <c r="U61" s="235"/>
      <c r="V61" s="235"/>
      <c r="W61" s="235"/>
      <c r="X61" s="235"/>
      <c r="Y61" s="235"/>
      <c r="Z61" s="235"/>
      <c r="AA61" s="235"/>
    </row>
    <row r="62" spans="1:27" ht="15.75" customHeight="1">
      <c r="A62" s="235"/>
      <c r="B62" s="235"/>
      <c r="C62" s="235"/>
      <c r="D62" s="235"/>
      <c r="E62" s="235"/>
      <c r="F62" s="235"/>
      <c r="G62" s="235"/>
      <c r="H62" s="235"/>
      <c r="I62" s="235"/>
      <c r="J62" s="235"/>
      <c r="K62" s="261"/>
      <c r="L62" s="235"/>
      <c r="M62" s="235"/>
      <c r="N62" s="235"/>
      <c r="O62" s="235"/>
      <c r="P62" s="235"/>
      <c r="Q62" s="298"/>
      <c r="R62" s="234"/>
      <c r="S62" s="235"/>
      <c r="T62" s="235"/>
      <c r="U62" s="235"/>
      <c r="V62" s="235"/>
      <c r="W62" s="235"/>
      <c r="X62" s="235"/>
      <c r="Y62" s="235"/>
      <c r="Z62" s="235"/>
      <c r="AA62" s="235"/>
    </row>
    <row r="63" spans="1:27" ht="10.5" customHeight="1">
      <c r="A63" s="235"/>
      <c r="B63" s="235"/>
      <c r="C63" s="235"/>
      <c r="D63" s="235"/>
      <c r="E63" s="235"/>
      <c r="F63" s="235"/>
      <c r="G63" s="235"/>
      <c r="H63" s="235"/>
      <c r="I63" s="235"/>
      <c r="J63" s="235"/>
      <c r="K63" s="261"/>
      <c r="L63" s="235"/>
      <c r="M63" s="235"/>
      <c r="N63" s="235"/>
      <c r="O63" s="235"/>
      <c r="P63" s="235"/>
      <c r="Q63" s="298"/>
      <c r="R63" s="234"/>
      <c r="S63" s="235"/>
      <c r="T63" s="235"/>
      <c r="U63" s="235"/>
      <c r="V63" s="235"/>
      <c r="W63" s="235"/>
      <c r="X63" s="235"/>
      <c r="Y63" s="235"/>
      <c r="Z63" s="235"/>
      <c r="AA63" s="235"/>
    </row>
    <row r="64" spans="1:27" ht="10.5" customHeight="1">
      <c r="A64" s="235"/>
      <c r="B64" s="235"/>
      <c r="C64" s="235"/>
      <c r="D64" s="235"/>
      <c r="E64" s="235"/>
      <c r="F64" s="235"/>
      <c r="G64" s="235"/>
      <c r="H64" s="235"/>
      <c r="I64" s="235"/>
      <c r="J64" s="235"/>
      <c r="K64" s="261"/>
      <c r="L64" s="235"/>
      <c r="M64" s="235"/>
      <c r="N64" s="235"/>
      <c r="O64" s="235"/>
      <c r="P64" s="235"/>
      <c r="Q64" s="298"/>
      <c r="R64" s="234"/>
      <c r="S64" s="235"/>
      <c r="T64" s="235"/>
      <c r="U64" s="235"/>
      <c r="V64" s="235"/>
      <c r="W64" s="235"/>
      <c r="X64" s="235"/>
      <c r="Y64" s="235"/>
      <c r="Z64" s="235"/>
      <c r="AA64" s="235"/>
    </row>
    <row r="65" spans="1:27" ht="10.5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235"/>
      <c r="K65" s="261"/>
      <c r="L65" s="235"/>
      <c r="M65" s="235"/>
      <c r="N65" s="235"/>
      <c r="O65" s="235"/>
      <c r="P65" s="235"/>
      <c r="Q65" s="298"/>
      <c r="R65" s="234"/>
      <c r="S65" s="235"/>
      <c r="T65" s="235"/>
      <c r="U65" s="235"/>
      <c r="V65" s="235"/>
      <c r="W65" s="235"/>
      <c r="X65" s="235"/>
      <c r="Y65" s="235"/>
      <c r="Z65" s="235"/>
      <c r="AA65" s="235"/>
    </row>
    <row r="66" spans="1:27" ht="10.5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61"/>
      <c r="L66" s="235"/>
      <c r="M66" s="235"/>
      <c r="N66" s="235"/>
      <c r="O66" s="235"/>
      <c r="P66" s="235"/>
      <c r="Q66" s="298"/>
      <c r="R66" s="234"/>
      <c r="S66" s="235"/>
      <c r="T66" s="235"/>
      <c r="U66" s="235"/>
      <c r="V66" s="235"/>
      <c r="W66" s="235"/>
      <c r="X66" s="235"/>
      <c r="Y66" s="235"/>
      <c r="Z66" s="235"/>
      <c r="AA66" s="235"/>
    </row>
    <row r="67" spans="1:27" ht="10.5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5"/>
      <c r="K67" s="261"/>
      <c r="L67" s="235"/>
      <c r="M67" s="235"/>
      <c r="N67" s="235"/>
      <c r="O67" s="235"/>
      <c r="P67" s="235"/>
      <c r="Q67" s="298"/>
      <c r="R67" s="234"/>
      <c r="S67" s="235"/>
      <c r="T67" s="235"/>
      <c r="U67" s="235"/>
      <c r="V67" s="235"/>
      <c r="W67" s="235"/>
      <c r="X67" s="235"/>
      <c r="Y67" s="235"/>
      <c r="Z67" s="235"/>
      <c r="AA67" s="235"/>
    </row>
    <row r="68" spans="1:27" ht="10.5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5"/>
      <c r="K68" s="261"/>
      <c r="L68" s="235"/>
      <c r="M68" s="235"/>
      <c r="N68" s="235"/>
      <c r="O68" s="235"/>
      <c r="P68" s="235"/>
      <c r="Q68" s="298"/>
      <c r="R68" s="234"/>
      <c r="S68" s="235"/>
      <c r="T68" s="235"/>
      <c r="U68" s="235"/>
      <c r="V68" s="235"/>
      <c r="W68" s="235"/>
      <c r="X68" s="235"/>
      <c r="Y68" s="235"/>
      <c r="Z68" s="235"/>
      <c r="AA68" s="235"/>
    </row>
    <row r="69" spans="1:27" ht="10.5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5"/>
      <c r="K69" s="261"/>
      <c r="L69" s="235"/>
      <c r="M69" s="235"/>
      <c r="N69" s="235"/>
      <c r="O69" s="235"/>
      <c r="P69" s="235"/>
      <c r="Q69" s="298"/>
      <c r="R69" s="234"/>
      <c r="S69" s="235"/>
      <c r="T69" s="235"/>
      <c r="U69" s="235"/>
      <c r="V69" s="235"/>
      <c r="W69" s="235"/>
      <c r="X69" s="235"/>
      <c r="Y69" s="235"/>
      <c r="Z69" s="235"/>
      <c r="AA69" s="235"/>
    </row>
    <row r="70" spans="1:27" ht="10.5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5"/>
      <c r="K70" s="261"/>
      <c r="L70" s="235"/>
      <c r="M70" s="235"/>
      <c r="N70" s="235"/>
      <c r="O70" s="235"/>
      <c r="P70" s="235"/>
      <c r="Q70" s="298"/>
      <c r="R70" s="234"/>
      <c r="S70" s="235"/>
      <c r="T70" s="235"/>
      <c r="U70" s="235"/>
      <c r="V70" s="235"/>
      <c r="W70" s="235"/>
      <c r="X70" s="235"/>
      <c r="Y70" s="235"/>
      <c r="Z70" s="235"/>
      <c r="AA70" s="235"/>
    </row>
    <row r="71" spans="1:27" ht="10.5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61"/>
      <c r="L71" s="235"/>
      <c r="M71" s="235"/>
      <c r="N71" s="235"/>
      <c r="O71" s="235"/>
      <c r="P71" s="235"/>
      <c r="Q71" s="298"/>
      <c r="R71" s="234"/>
      <c r="S71" s="235"/>
      <c r="T71" s="235"/>
      <c r="U71" s="235"/>
      <c r="V71" s="235"/>
      <c r="W71" s="235"/>
      <c r="X71" s="235"/>
      <c r="Y71" s="235"/>
      <c r="Z71" s="235"/>
      <c r="AA71" s="235"/>
    </row>
    <row r="72" spans="1:27" ht="10.5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61"/>
      <c r="L72" s="235"/>
      <c r="M72" s="235"/>
      <c r="N72" s="235"/>
      <c r="O72" s="235"/>
      <c r="P72" s="235"/>
      <c r="Q72" s="298"/>
      <c r="R72" s="234"/>
      <c r="S72" s="235"/>
      <c r="T72" s="235"/>
      <c r="U72" s="235"/>
      <c r="V72" s="235"/>
      <c r="W72" s="235"/>
      <c r="X72" s="235"/>
      <c r="Y72" s="235"/>
      <c r="Z72" s="235"/>
      <c r="AA72" s="235"/>
    </row>
    <row r="73" spans="1:27" ht="10.5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61"/>
      <c r="L73" s="235"/>
      <c r="M73" s="235"/>
      <c r="N73" s="235"/>
      <c r="O73" s="235"/>
      <c r="P73" s="235"/>
      <c r="Q73" s="298"/>
      <c r="R73" s="234"/>
      <c r="S73" s="235"/>
      <c r="T73" s="235"/>
      <c r="U73" s="235"/>
      <c r="V73" s="235"/>
      <c r="W73" s="235"/>
      <c r="X73" s="235"/>
      <c r="Y73" s="235"/>
      <c r="Z73" s="235"/>
      <c r="AA73" s="235"/>
    </row>
    <row r="74" spans="1:27" ht="10.5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61"/>
      <c r="L74" s="235"/>
      <c r="M74" s="235"/>
      <c r="N74" s="235"/>
      <c r="O74" s="235"/>
      <c r="P74" s="235"/>
      <c r="Q74" s="298"/>
      <c r="R74" s="234"/>
      <c r="S74" s="235"/>
      <c r="T74" s="235"/>
      <c r="U74" s="235"/>
      <c r="V74" s="235"/>
      <c r="W74" s="235"/>
      <c r="X74" s="235"/>
      <c r="Y74" s="235"/>
      <c r="Z74" s="235"/>
      <c r="AA74" s="235"/>
    </row>
    <row r="75" spans="1:27" ht="10.5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61"/>
      <c r="L75" s="235"/>
      <c r="M75" s="235"/>
      <c r="N75" s="235"/>
      <c r="O75" s="235"/>
      <c r="P75" s="235"/>
      <c r="Q75" s="298"/>
      <c r="R75" s="234"/>
      <c r="S75" s="235"/>
      <c r="T75" s="235"/>
      <c r="U75" s="235"/>
      <c r="V75" s="235"/>
      <c r="W75" s="235"/>
      <c r="X75" s="235"/>
      <c r="Y75" s="235"/>
      <c r="Z75" s="235"/>
      <c r="AA75" s="235"/>
    </row>
    <row r="76" spans="1:27" ht="10.5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61"/>
      <c r="L76" s="235"/>
      <c r="M76" s="235"/>
      <c r="N76" s="235"/>
      <c r="O76" s="235"/>
      <c r="P76" s="235"/>
      <c r="Q76" s="298"/>
      <c r="R76" s="234"/>
      <c r="S76" s="235"/>
      <c r="T76" s="235"/>
      <c r="U76" s="235"/>
      <c r="V76" s="235"/>
      <c r="W76" s="235"/>
      <c r="X76" s="235"/>
      <c r="Y76" s="235"/>
      <c r="Z76" s="235"/>
      <c r="AA76" s="235"/>
    </row>
    <row r="77" spans="1:27" ht="10.5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61"/>
      <c r="L77" s="235"/>
      <c r="M77" s="235"/>
      <c r="N77" s="235"/>
      <c r="O77" s="235"/>
      <c r="P77" s="235"/>
      <c r="Q77" s="298"/>
      <c r="R77" s="234"/>
      <c r="S77" s="235"/>
      <c r="T77" s="235"/>
      <c r="U77" s="235"/>
      <c r="V77" s="235"/>
      <c r="W77" s="235"/>
      <c r="X77" s="235"/>
      <c r="Y77" s="235"/>
      <c r="Z77" s="235"/>
      <c r="AA77" s="235"/>
    </row>
    <row r="78" spans="1:27" ht="10.5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61"/>
      <c r="L78" s="235"/>
      <c r="M78" s="235"/>
      <c r="N78" s="235"/>
      <c r="O78" s="235"/>
      <c r="P78" s="235"/>
      <c r="Q78" s="298"/>
      <c r="R78" s="234"/>
      <c r="S78" s="235"/>
      <c r="T78" s="235"/>
      <c r="U78" s="235"/>
      <c r="V78" s="235"/>
      <c r="W78" s="235"/>
      <c r="X78" s="235"/>
      <c r="Y78" s="235"/>
      <c r="Z78" s="235"/>
      <c r="AA78" s="235"/>
    </row>
    <row r="79" spans="1:27" ht="10.5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61"/>
      <c r="L79" s="235"/>
      <c r="M79" s="235"/>
      <c r="N79" s="235"/>
      <c r="O79" s="235"/>
      <c r="P79" s="235"/>
      <c r="Q79" s="298"/>
      <c r="R79" s="234"/>
      <c r="S79" s="235"/>
      <c r="T79" s="235"/>
      <c r="U79" s="235"/>
      <c r="V79" s="235"/>
      <c r="W79" s="235"/>
      <c r="X79" s="235"/>
      <c r="Y79" s="235"/>
      <c r="Z79" s="235"/>
      <c r="AA79" s="235"/>
    </row>
    <row r="80" spans="1:27" ht="10.5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61"/>
      <c r="L80" s="235"/>
      <c r="M80" s="235"/>
      <c r="N80" s="235"/>
      <c r="O80" s="235"/>
      <c r="P80" s="235"/>
      <c r="Q80" s="298"/>
      <c r="R80" s="234"/>
      <c r="S80" s="235"/>
      <c r="T80" s="235"/>
      <c r="U80" s="235"/>
      <c r="V80" s="235"/>
      <c r="W80" s="235"/>
      <c r="X80" s="235"/>
      <c r="Y80" s="235"/>
      <c r="Z80" s="235"/>
      <c r="AA80" s="235"/>
    </row>
    <row r="81" spans="1:27" ht="10.5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61"/>
      <c r="L81" s="235"/>
      <c r="M81" s="235"/>
      <c r="N81" s="235"/>
      <c r="O81" s="235"/>
      <c r="P81" s="235"/>
      <c r="Q81" s="298"/>
      <c r="R81" s="234"/>
      <c r="S81" s="235"/>
      <c r="T81" s="235"/>
      <c r="U81" s="235"/>
      <c r="V81" s="235"/>
      <c r="W81" s="235"/>
      <c r="X81" s="235"/>
      <c r="Y81" s="235"/>
      <c r="Z81" s="235"/>
      <c r="AA81" s="235"/>
    </row>
    <row r="82" spans="1:27" ht="10.5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61"/>
      <c r="L82" s="235"/>
      <c r="M82" s="235"/>
      <c r="N82" s="235"/>
      <c r="O82" s="235"/>
      <c r="P82" s="235"/>
      <c r="Q82" s="298"/>
      <c r="R82" s="234"/>
      <c r="S82" s="235"/>
      <c r="T82" s="235"/>
      <c r="U82" s="235"/>
      <c r="V82" s="235"/>
      <c r="W82" s="235"/>
      <c r="X82" s="235"/>
      <c r="Y82" s="235"/>
      <c r="Z82" s="235"/>
      <c r="AA82" s="235"/>
    </row>
    <row r="83" spans="1:27" ht="10.5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61"/>
      <c r="L83" s="235"/>
      <c r="M83" s="235"/>
      <c r="N83" s="235"/>
      <c r="O83" s="235"/>
      <c r="P83" s="235"/>
      <c r="Q83" s="298"/>
      <c r="R83" s="234"/>
      <c r="S83" s="235"/>
      <c r="T83" s="235"/>
      <c r="U83" s="235"/>
      <c r="V83" s="235"/>
      <c r="W83" s="235"/>
      <c r="X83" s="235"/>
      <c r="Y83" s="235"/>
      <c r="Z83" s="235"/>
      <c r="AA83" s="235"/>
    </row>
    <row r="84" spans="1:27" ht="10.5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61"/>
      <c r="L84" s="235"/>
      <c r="M84" s="235"/>
      <c r="N84" s="235"/>
      <c r="O84" s="235"/>
      <c r="P84" s="235"/>
      <c r="Q84" s="298"/>
      <c r="R84" s="234"/>
      <c r="S84" s="235"/>
      <c r="T84" s="235"/>
      <c r="U84" s="235"/>
      <c r="V84" s="235"/>
      <c r="W84" s="235"/>
      <c r="X84" s="235"/>
      <c r="Y84" s="235"/>
      <c r="Z84" s="235"/>
      <c r="AA84" s="235"/>
    </row>
    <row r="85" spans="1:27" ht="10.5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61"/>
      <c r="L85" s="235"/>
      <c r="M85" s="235"/>
      <c r="N85" s="235"/>
      <c r="O85" s="235"/>
      <c r="P85" s="235"/>
      <c r="Q85" s="298"/>
      <c r="R85" s="234"/>
      <c r="S85" s="235"/>
      <c r="T85" s="235"/>
      <c r="U85" s="235"/>
      <c r="V85" s="235"/>
      <c r="W85" s="235"/>
      <c r="X85" s="235"/>
      <c r="Y85" s="235"/>
      <c r="Z85" s="235"/>
      <c r="AA85" s="235"/>
    </row>
    <row r="86" spans="1:27" ht="10.5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61"/>
      <c r="L86" s="235"/>
      <c r="M86" s="235"/>
      <c r="N86" s="235"/>
      <c r="O86" s="235"/>
      <c r="P86" s="235"/>
      <c r="Q86" s="298"/>
      <c r="R86" s="234"/>
      <c r="S86" s="235"/>
      <c r="T86" s="235"/>
      <c r="U86" s="235"/>
      <c r="V86" s="235"/>
      <c r="W86" s="235"/>
      <c r="X86" s="235"/>
      <c r="Y86" s="235"/>
      <c r="Z86" s="235"/>
      <c r="AA86" s="235"/>
    </row>
    <row r="87" spans="1:27" ht="10.5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61"/>
      <c r="L87" s="235"/>
      <c r="M87" s="235"/>
      <c r="N87" s="235"/>
      <c r="O87" s="235"/>
      <c r="P87" s="235"/>
      <c r="Q87" s="298"/>
      <c r="R87" s="234"/>
      <c r="S87" s="235"/>
      <c r="T87" s="235"/>
      <c r="U87" s="235"/>
      <c r="V87" s="235"/>
      <c r="W87" s="235"/>
      <c r="X87" s="235"/>
      <c r="Y87" s="235"/>
      <c r="Z87" s="235"/>
      <c r="AA87" s="235"/>
    </row>
    <row r="88" spans="1:27" ht="10.5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61"/>
      <c r="L88" s="235"/>
      <c r="M88" s="235"/>
      <c r="N88" s="235"/>
      <c r="O88" s="235"/>
      <c r="P88" s="235"/>
      <c r="Q88" s="298"/>
      <c r="R88" s="234"/>
      <c r="S88" s="235"/>
      <c r="T88" s="235"/>
      <c r="U88" s="235"/>
      <c r="V88" s="235"/>
      <c r="W88" s="235"/>
      <c r="X88" s="235"/>
      <c r="Y88" s="235"/>
      <c r="Z88" s="235"/>
      <c r="AA88" s="235"/>
    </row>
    <row r="89" spans="1:27" ht="10.5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61"/>
      <c r="L89" s="235"/>
      <c r="M89" s="235"/>
      <c r="N89" s="235"/>
      <c r="O89" s="235"/>
      <c r="P89" s="235"/>
      <c r="Q89" s="298"/>
      <c r="R89" s="234"/>
      <c r="S89" s="235"/>
      <c r="T89" s="235"/>
      <c r="U89" s="235"/>
      <c r="V89" s="235"/>
      <c r="W89" s="235"/>
      <c r="X89" s="235"/>
      <c r="Y89" s="235"/>
      <c r="Z89" s="235"/>
      <c r="AA89" s="235"/>
    </row>
    <row r="90" spans="1:27" ht="10.5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61"/>
      <c r="L90" s="235"/>
      <c r="M90" s="235"/>
      <c r="N90" s="235"/>
      <c r="O90" s="235"/>
      <c r="P90" s="235"/>
      <c r="Q90" s="298"/>
      <c r="R90" s="234"/>
      <c r="S90" s="235"/>
      <c r="T90" s="235"/>
      <c r="U90" s="235"/>
      <c r="V90" s="235"/>
      <c r="W90" s="235"/>
      <c r="X90" s="235"/>
      <c r="Y90" s="235"/>
      <c r="Z90" s="235"/>
      <c r="AA90" s="235"/>
    </row>
    <row r="91" spans="1:27" ht="10.5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61"/>
      <c r="L91" s="235"/>
      <c r="M91" s="235"/>
      <c r="N91" s="235"/>
      <c r="O91" s="235"/>
      <c r="P91" s="235"/>
      <c r="Q91" s="298"/>
      <c r="R91" s="234"/>
      <c r="S91" s="235"/>
      <c r="T91" s="235"/>
      <c r="U91" s="235"/>
      <c r="V91" s="235"/>
      <c r="W91" s="235"/>
      <c r="X91" s="235"/>
      <c r="Y91" s="235"/>
      <c r="Z91" s="235"/>
      <c r="AA91" s="235"/>
    </row>
    <row r="92" spans="1:27" ht="10.5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61"/>
      <c r="L92" s="235"/>
      <c r="M92" s="235"/>
      <c r="N92" s="235"/>
      <c r="O92" s="235"/>
      <c r="P92" s="235"/>
      <c r="Q92" s="298"/>
      <c r="R92" s="234"/>
      <c r="S92" s="235"/>
      <c r="T92" s="235"/>
      <c r="U92" s="235"/>
      <c r="V92" s="235"/>
      <c r="W92" s="235"/>
      <c r="X92" s="235"/>
      <c r="Y92" s="235"/>
      <c r="Z92" s="235"/>
      <c r="AA92" s="235"/>
    </row>
    <row r="93" spans="1:27" ht="10.5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61"/>
      <c r="L93" s="235"/>
      <c r="M93" s="235"/>
      <c r="N93" s="235"/>
      <c r="O93" s="235"/>
      <c r="P93" s="235"/>
      <c r="Q93" s="298"/>
      <c r="R93" s="234"/>
      <c r="S93" s="235"/>
      <c r="T93" s="235"/>
      <c r="U93" s="235"/>
      <c r="V93" s="235"/>
      <c r="W93" s="235"/>
      <c r="X93" s="235"/>
      <c r="Y93" s="235"/>
      <c r="Z93" s="235"/>
      <c r="AA93" s="235"/>
    </row>
    <row r="94" spans="1:27" ht="10.5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61"/>
      <c r="L94" s="235"/>
      <c r="M94" s="235"/>
      <c r="N94" s="235"/>
      <c r="O94" s="235"/>
      <c r="P94" s="235"/>
      <c r="Q94" s="298"/>
      <c r="R94" s="234"/>
      <c r="S94" s="235"/>
      <c r="T94" s="235"/>
      <c r="U94" s="235"/>
      <c r="V94" s="235"/>
      <c r="W94" s="235"/>
      <c r="X94" s="235"/>
      <c r="Y94" s="235"/>
      <c r="Z94" s="235"/>
      <c r="AA94" s="235"/>
    </row>
    <row r="95" spans="1:27" ht="10.5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61"/>
      <c r="L95" s="235"/>
      <c r="M95" s="235"/>
      <c r="N95" s="235"/>
      <c r="O95" s="235"/>
      <c r="P95" s="235"/>
      <c r="Q95" s="298"/>
      <c r="R95" s="234"/>
      <c r="S95" s="235"/>
      <c r="T95" s="235"/>
      <c r="U95" s="235"/>
      <c r="V95" s="235"/>
      <c r="W95" s="235"/>
      <c r="X95" s="235"/>
      <c r="Y95" s="235"/>
      <c r="Z95" s="235"/>
      <c r="AA95" s="235"/>
    </row>
    <row r="96" spans="1:27" ht="10.5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61"/>
      <c r="L96" s="235"/>
      <c r="M96" s="235"/>
      <c r="N96" s="235"/>
      <c r="O96" s="235"/>
      <c r="P96" s="235"/>
      <c r="Q96" s="298"/>
      <c r="R96" s="234"/>
      <c r="S96" s="235"/>
      <c r="T96" s="235"/>
      <c r="U96" s="235"/>
      <c r="V96" s="235"/>
      <c r="W96" s="235"/>
      <c r="X96" s="235"/>
      <c r="Y96" s="235"/>
      <c r="Z96" s="235"/>
      <c r="AA96" s="235"/>
    </row>
    <row r="97" spans="1:27" ht="10.5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61"/>
      <c r="L97" s="235"/>
      <c r="M97" s="235"/>
      <c r="N97" s="235"/>
      <c r="O97" s="235"/>
      <c r="P97" s="235"/>
      <c r="Q97" s="298"/>
      <c r="R97" s="234"/>
      <c r="S97" s="235"/>
      <c r="T97" s="235"/>
      <c r="U97" s="235"/>
      <c r="V97" s="235"/>
      <c r="W97" s="235"/>
      <c r="X97" s="235"/>
      <c r="Y97" s="235"/>
      <c r="Z97" s="235"/>
      <c r="AA97" s="235"/>
    </row>
    <row r="98" spans="1:27" ht="10.5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61"/>
      <c r="L98" s="235"/>
      <c r="M98" s="235"/>
      <c r="N98" s="235"/>
      <c r="O98" s="235"/>
      <c r="P98" s="235"/>
      <c r="Q98" s="298"/>
      <c r="R98" s="234"/>
      <c r="S98" s="235"/>
      <c r="T98" s="235"/>
      <c r="U98" s="235"/>
      <c r="V98" s="235"/>
      <c r="W98" s="235"/>
      <c r="X98" s="235"/>
      <c r="Y98" s="235"/>
      <c r="Z98" s="235"/>
      <c r="AA98" s="235"/>
    </row>
    <row r="99" spans="1:27" ht="10.5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61"/>
      <c r="L99" s="235"/>
      <c r="M99" s="235"/>
      <c r="N99" s="235"/>
      <c r="O99" s="235"/>
      <c r="P99" s="235"/>
      <c r="Q99" s="298"/>
      <c r="R99" s="234"/>
      <c r="S99" s="235"/>
      <c r="T99" s="235"/>
      <c r="U99" s="235"/>
      <c r="V99" s="235"/>
      <c r="W99" s="235"/>
      <c r="X99" s="235"/>
      <c r="Y99" s="235"/>
      <c r="Z99" s="235"/>
      <c r="AA99" s="235"/>
    </row>
    <row r="100" spans="1:27" ht="10.5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61"/>
      <c r="L100" s="235"/>
      <c r="M100" s="235"/>
      <c r="N100" s="235"/>
      <c r="O100" s="235"/>
      <c r="P100" s="235"/>
      <c r="Q100" s="298"/>
      <c r="R100" s="234"/>
      <c r="S100" s="235"/>
      <c r="T100" s="235"/>
      <c r="U100" s="235"/>
      <c r="V100" s="235"/>
      <c r="W100" s="235"/>
      <c r="X100" s="235"/>
      <c r="Y100" s="235"/>
      <c r="Z100" s="235"/>
      <c r="AA100" s="235"/>
    </row>
    <row r="101" spans="1:27" ht="10.5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61"/>
      <c r="L101" s="235"/>
      <c r="M101" s="235"/>
      <c r="N101" s="235"/>
      <c r="O101" s="235"/>
      <c r="P101" s="235"/>
      <c r="Q101" s="298"/>
      <c r="R101" s="234"/>
      <c r="S101" s="235"/>
      <c r="T101" s="235"/>
      <c r="U101" s="235"/>
      <c r="V101" s="235"/>
      <c r="W101" s="235"/>
      <c r="X101" s="235"/>
      <c r="Y101" s="235"/>
      <c r="Z101" s="235"/>
      <c r="AA101" s="235"/>
    </row>
    <row r="102" spans="1:27" ht="10.5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61"/>
      <c r="L102" s="235"/>
      <c r="M102" s="235"/>
      <c r="N102" s="235"/>
      <c r="O102" s="235"/>
      <c r="P102" s="235"/>
      <c r="Q102" s="298"/>
      <c r="R102" s="234"/>
      <c r="S102" s="235"/>
      <c r="T102" s="235"/>
      <c r="U102" s="235"/>
      <c r="V102" s="235"/>
      <c r="W102" s="235"/>
      <c r="X102" s="235"/>
      <c r="Y102" s="235"/>
      <c r="Z102" s="235"/>
      <c r="AA102" s="235"/>
    </row>
    <row r="103" spans="1:27" ht="10.5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61"/>
      <c r="L103" s="235"/>
      <c r="M103" s="235"/>
      <c r="N103" s="235"/>
      <c r="O103" s="235"/>
      <c r="P103" s="235"/>
      <c r="Q103" s="298"/>
      <c r="R103" s="234"/>
      <c r="S103" s="235"/>
      <c r="T103" s="235"/>
      <c r="U103" s="235"/>
      <c r="V103" s="235"/>
      <c r="W103" s="235"/>
      <c r="X103" s="235"/>
      <c r="Y103" s="235"/>
      <c r="Z103" s="235"/>
      <c r="AA103" s="235"/>
    </row>
    <row r="104" spans="1:27" ht="10.5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61"/>
      <c r="L104" s="235"/>
      <c r="M104" s="235"/>
      <c r="N104" s="235"/>
      <c r="O104" s="235"/>
      <c r="P104" s="235"/>
      <c r="Q104" s="298"/>
      <c r="R104" s="234"/>
      <c r="S104" s="235"/>
      <c r="T104" s="235"/>
      <c r="U104" s="235"/>
      <c r="V104" s="235"/>
      <c r="W104" s="235"/>
      <c r="X104" s="235"/>
      <c r="Y104" s="235"/>
      <c r="Z104" s="235"/>
      <c r="AA104" s="235"/>
    </row>
    <row r="105" spans="1:27" ht="10.5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61"/>
      <c r="L105" s="235"/>
      <c r="M105" s="235"/>
      <c r="N105" s="235"/>
      <c r="O105" s="235"/>
      <c r="P105" s="235"/>
      <c r="Q105" s="298"/>
      <c r="R105" s="234"/>
      <c r="S105" s="235"/>
      <c r="T105" s="235"/>
      <c r="U105" s="235"/>
      <c r="V105" s="235"/>
      <c r="W105" s="235"/>
      <c r="X105" s="235"/>
      <c r="Y105" s="235"/>
      <c r="Z105" s="235"/>
      <c r="AA105" s="235"/>
    </row>
    <row r="106" spans="1:27" ht="10.5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61"/>
      <c r="L106" s="235"/>
      <c r="M106" s="235"/>
      <c r="N106" s="235"/>
      <c r="O106" s="235"/>
      <c r="P106" s="235"/>
      <c r="Q106" s="298"/>
      <c r="R106" s="234"/>
      <c r="S106" s="235"/>
      <c r="T106" s="235"/>
      <c r="U106" s="235"/>
      <c r="V106" s="235"/>
      <c r="W106" s="235"/>
      <c r="X106" s="235"/>
      <c r="Y106" s="235"/>
      <c r="Z106" s="235"/>
      <c r="AA106" s="235"/>
    </row>
    <row r="107" spans="1:27" ht="10.5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61"/>
      <c r="L107" s="235"/>
      <c r="M107" s="235"/>
      <c r="N107" s="235"/>
      <c r="O107" s="235"/>
      <c r="P107" s="235"/>
      <c r="Q107" s="298"/>
      <c r="R107" s="234"/>
      <c r="S107" s="235"/>
      <c r="T107" s="235"/>
      <c r="U107" s="235"/>
      <c r="V107" s="235"/>
      <c r="W107" s="235"/>
      <c r="X107" s="235"/>
      <c r="Y107" s="235"/>
      <c r="Z107" s="235"/>
      <c r="AA107" s="235"/>
    </row>
    <row r="108" spans="1:27" ht="10.5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61"/>
      <c r="L108" s="235"/>
      <c r="M108" s="235"/>
      <c r="N108" s="235"/>
      <c r="O108" s="235"/>
      <c r="P108" s="235"/>
      <c r="Q108" s="298"/>
      <c r="R108" s="234"/>
      <c r="S108" s="235"/>
      <c r="T108" s="235"/>
      <c r="U108" s="235"/>
      <c r="V108" s="235"/>
      <c r="W108" s="235"/>
      <c r="X108" s="235"/>
      <c r="Y108" s="235"/>
      <c r="Z108" s="235"/>
      <c r="AA108" s="235"/>
    </row>
    <row r="109" spans="1:27" ht="10.5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61"/>
      <c r="L109" s="235"/>
      <c r="M109" s="235"/>
      <c r="N109" s="235"/>
      <c r="O109" s="235"/>
      <c r="P109" s="235"/>
      <c r="Q109" s="298"/>
      <c r="R109" s="234"/>
      <c r="S109" s="235"/>
      <c r="T109" s="235"/>
      <c r="U109" s="235"/>
      <c r="V109" s="235"/>
      <c r="W109" s="235"/>
      <c r="X109" s="235"/>
      <c r="Y109" s="235"/>
      <c r="Z109" s="235"/>
      <c r="AA109" s="235"/>
    </row>
    <row r="110" spans="1:27" ht="10.5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61"/>
      <c r="L110" s="235"/>
      <c r="M110" s="235"/>
      <c r="N110" s="235"/>
      <c r="O110" s="235"/>
      <c r="P110" s="235"/>
      <c r="Q110" s="298"/>
      <c r="R110" s="234"/>
      <c r="S110" s="235"/>
      <c r="T110" s="235"/>
      <c r="U110" s="235"/>
      <c r="V110" s="235"/>
      <c r="W110" s="235"/>
      <c r="X110" s="235"/>
      <c r="Y110" s="235"/>
      <c r="Z110" s="235"/>
      <c r="AA110" s="235"/>
    </row>
    <row r="111" spans="1:27" ht="10.5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61"/>
      <c r="L111" s="235"/>
      <c r="M111" s="235"/>
      <c r="N111" s="235"/>
      <c r="O111" s="235"/>
      <c r="P111" s="235"/>
      <c r="Q111" s="298"/>
      <c r="R111" s="234"/>
      <c r="S111" s="235"/>
      <c r="T111" s="235"/>
      <c r="U111" s="235"/>
      <c r="V111" s="235"/>
      <c r="W111" s="235"/>
      <c r="X111" s="235"/>
      <c r="Y111" s="235"/>
      <c r="Z111" s="235"/>
      <c r="AA111" s="235"/>
    </row>
    <row r="112" spans="1:27" ht="10.5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61"/>
      <c r="L112" s="235"/>
      <c r="M112" s="235"/>
      <c r="N112" s="235"/>
      <c r="O112" s="235"/>
      <c r="P112" s="235"/>
      <c r="Q112" s="298"/>
      <c r="R112" s="234"/>
      <c r="S112" s="235"/>
      <c r="T112" s="235"/>
      <c r="U112" s="235"/>
      <c r="V112" s="235"/>
      <c r="W112" s="235"/>
      <c r="X112" s="235"/>
      <c r="Y112" s="235"/>
      <c r="Z112" s="235"/>
      <c r="AA112" s="235"/>
    </row>
    <row r="113" spans="1:27" ht="10.5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61"/>
      <c r="L113" s="235"/>
      <c r="M113" s="235"/>
      <c r="N113" s="235"/>
      <c r="O113" s="235"/>
      <c r="P113" s="235"/>
      <c r="Q113" s="298"/>
      <c r="R113" s="234"/>
      <c r="S113" s="235"/>
      <c r="T113" s="235"/>
      <c r="U113" s="235"/>
      <c r="V113" s="235"/>
      <c r="W113" s="235"/>
      <c r="X113" s="235"/>
      <c r="Y113" s="235"/>
      <c r="Z113" s="235"/>
      <c r="AA113" s="235"/>
    </row>
    <row r="114" spans="1:27" ht="10.5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61"/>
      <c r="L114" s="235"/>
      <c r="M114" s="235"/>
      <c r="N114" s="235"/>
      <c r="O114" s="235"/>
      <c r="P114" s="235"/>
      <c r="Q114" s="298"/>
      <c r="R114" s="234"/>
      <c r="S114" s="235"/>
      <c r="T114" s="235"/>
      <c r="U114" s="235"/>
      <c r="V114" s="235"/>
      <c r="W114" s="235"/>
      <c r="X114" s="235"/>
      <c r="Y114" s="235"/>
      <c r="Z114" s="235"/>
      <c r="AA114" s="235"/>
    </row>
    <row r="115" spans="1:27" ht="10.5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61"/>
      <c r="L115" s="235"/>
      <c r="M115" s="235"/>
      <c r="N115" s="235"/>
      <c r="O115" s="235"/>
      <c r="P115" s="235"/>
      <c r="Q115" s="298"/>
      <c r="R115" s="234"/>
      <c r="S115" s="235"/>
      <c r="T115" s="235"/>
      <c r="U115" s="235"/>
      <c r="V115" s="235"/>
      <c r="W115" s="235"/>
      <c r="X115" s="235"/>
      <c r="Y115" s="235"/>
      <c r="Z115" s="235"/>
      <c r="AA115" s="235"/>
    </row>
    <row r="116" spans="1:27" ht="10.5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61"/>
      <c r="L116" s="235"/>
      <c r="M116" s="235"/>
      <c r="N116" s="235"/>
      <c r="O116" s="235"/>
      <c r="P116" s="235"/>
      <c r="Q116" s="298"/>
      <c r="R116" s="234"/>
      <c r="S116" s="235"/>
      <c r="T116" s="235"/>
      <c r="U116" s="235"/>
      <c r="V116" s="235"/>
      <c r="W116" s="235"/>
      <c r="X116" s="235"/>
      <c r="Y116" s="235"/>
      <c r="Z116" s="235"/>
      <c r="AA116" s="235"/>
    </row>
    <row r="117" spans="1:27" ht="10.5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61"/>
      <c r="L117" s="235"/>
      <c r="M117" s="235"/>
      <c r="N117" s="235"/>
      <c r="O117" s="235"/>
      <c r="P117" s="235"/>
      <c r="Q117" s="298"/>
      <c r="R117" s="234"/>
      <c r="S117" s="235"/>
      <c r="T117" s="235"/>
      <c r="U117" s="235"/>
      <c r="V117" s="235"/>
      <c r="W117" s="235"/>
      <c r="X117" s="235"/>
      <c r="Y117" s="235"/>
      <c r="Z117" s="235"/>
      <c r="AA117" s="235"/>
    </row>
    <row r="118" spans="1:27" ht="10.5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61"/>
      <c r="L118" s="235"/>
      <c r="M118" s="235"/>
      <c r="N118" s="235"/>
      <c r="O118" s="235"/>
      <c r="P118" s="235"/>
      <c r="Q118" s="298"/>
      <c r="R118" s="234"/>
      <c r="S118" s="235"/>
      <c r="T118" s="235"/>
      <c r="U118" s="235"/>
      <c r="V118" s="235"/>
      <c r="W118" s="235"/>
      <c r="X118" s="235"/>
      <c r="Y118" s="235"/>
      <c r="Z118" s="235"/>
      <c r="AA118" s="235"/>
    </row>
    <row r="119" spans="1:27" ht="10.5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61"/>
      <c r="L119" s="235"/>
      <c r="M119" s="235"/>
      <c r="N119" s="235"/>
      <c r="O119" s="235"/>
      <c r="P119" s="235"/>
      <c r="Q119" s="298"/>
      <c r="R119" s="234"/>
      <c r="S119" s="235"/>
      <c r="T119" s="235"/>
      <c r="U119" s="235"/>
      <c r="V119" s="235"/>
      <c r="W119" s="235"/>
      <c r="X119" s="235"/>
      <c r="Y119" s="235"/>
      <c r="Z119" s="235"/>
      <c r="AA119" s="235"/>
    </row>
    <row r="120" spans="1:27" ht="10.5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61"/>
      <c r="L120" s="235"/>
      <c r="M120" s="235"/>
      <c r="N120" s="235"/>
      <c r="O120" s="235"/>
      <c r="P120" s="235"/>
      <c r="Q120" s="298"/>
      <c r="R120" s="234"/>
      <c r="S120" s="235"/>
      <c r="T120" s="235"/>
      <c r="U120" s="235"/>
      <c r="V120" s="235"/>
      <c r="W120" s="235"/>
      <c r="X120" s="235"/>
      <c r="Y120" s="235"/>
      <c r="Z120" s="235"/>
      <c r="AA120" s="235"/>
    </row>
    <row r="121" spans="1:27" ht="10.5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61"/>
      <c r="L121" s="235"/>
      <c r="M121" s="235"/>
      <c r="N121" s="235"/>
      <c r="O121" s="235"/>
      <c r="P121" s="235"/>
      <c r="Q121" s="298"/>
      <c r="R121" s="234"/>
      <c r="S121" s="235"/>
      <c r="T121" s="235"/>
      <c r="U121" s="235"/>
      <c r="V121" s="235"/>
      <c r="W121" s="235"/>
      <c r="X121" s="235"/>
      <c r="Y121" s="235"/>
      <c r="Z121" s="235"/>
      <c r="AA121" s="235"/>
    </row>
    <row r="122" spans="1:27" ht="10.5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61"/>
      <c r="L122" s="235"/>
      <c r="M122" s="235"/>
      <c r="N122" s="235"/>
      <c r="O122" s="235"/>
      <c r="P122" s="235"/>
      <c r="Q122" s="298"/>
      <c r="R122" s="234"/>
      <c r="S122" s="235"/>
      <c r="T122" s="235"/>
      <c r="U122" s="235"/>
      <c r="V122" s="235"/>
      <c r="W122" s="235"/>
      <c r="X122" s="235"/>
      <c r="Y122" s="235"/>
      <c r="Z122" s="235"/>
      <c r="AA122" s="235"/>
    </row>
    <row r="123" spans="1:27" ht="10.5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61"/>
      <c r="L123" s="235"/>
      <c r="M123" s="235"/>
      <c r="N123" s="235"/>
      <c r="O123" s="235"/>
      <c r="P123" s="235"/>
      <c r="Q123" s="298"/>
      <c r="R123" s="234"/>
      <c r="S123" s="235"/>
      <c r="T123" s="235"/>
      <c r="U123" s="235"/>
      <c r="V123" s="235"/>
      <c r="W123" s="235"/>
      <c r="X123" s="235"/>
      <c r="Y123" s="235"/>
      <c r="Z123" s="235"/>
      <c r="AA123" s="235"/>
    </row>
    <row r="124" spans="1:27" ht="10.5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61"/>
      <c r="L124" s="235"/>
      <c r="M124" s="235"/>
      <c r="N124" s="235"/>
      <c r="O124" s="235"/>
      <c r="P124" s="235"/>
      <c r="Q124" s="298"/>
      <c r="R124" s="234"/>
      <c r="S124" s="235"/>
      <c r="T124" s="235"/>
      <c r="U124" s="235"/>
      <c r="V124" s="235"/>
      <c r="W124" s="235"/>
      <c r="X124" s="235"/>
      <c r="Y124" s="235"/>
      <c r="Z124" s="235"/>
      <c r="AA124" s="235"/>
    </row>
    <row r="125" spans="1:27" ht="10.5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61"/>
      <c r="L125" s="235"/>
      <c r="M125" s="235"/>
      <c r="N125" s="235"/>
      <c r="O125" s="235"/>
      <c r="P125" s="235"/>
      <c r="Q125" s="298"/>
      <c r="R125" s="234"/>
      <c r="S125" s="235"/>
      <c r="T125" s="235"/>
      <c r="U125" s="235"/>
      <c r="V125" s="235"/>
      <c r="W125" s="235"/>
      <c r="X125" s="235"/>
      <c r="Y125" s="235"/>
      <c r="Z125" s="235"/>
      <c r="AA125" s="235"/>
    </row>
    <row r="126" spans="1:27" ht="10.5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61"/>
      <c r="L126" s="235"/>
      <c r="M126" s="235"/>
      <c r="N126" s="235"/>
      <c r="O126" s="235"/>
      <c r="P126" s="235"/>
      <c r="Q126" s="298"/>
      <c r="R126" s="234"/>
      <c r="S126" s="235"/>
      <c r="T126" s="235"/>
      <c r="U126" s="235"/>
      <c r="V126" s="235"/>
      <c r="W126" s="235"/>
      <c r="X126" s="235"/>
      <c r="Y126" s="235"/>
      <c r="Z126" s="235"/>
      <c r="AA126" s="235"/>
    </row>
    <row r="127" spans="1:27" ht="10.5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61"/>
      <c r="L127" s="235"/>
      <c r="M127" s="235"/>
      <c r="N127" s="235"/>
      <c r="O127" s="235"/>
      <c r="P127" s="235"/>
      <c r="Q127" s="298"/>
      <c r="R127" s="234"/>
      <c r="S127" s="235"/>
      <c r="T127" s="235"/>
      <c r="U127" s="235"/>
      <c r="V127" s="235"/>
      <c r="W127" s="235"/>
      <c r="X127" s="235"/>
      <c r="Y127" s="235"/>
      <c r="Z127" s="235"/>
      <c r="AA127" s="235"/>
    </row>
    <row r="128" spans="1:27" ht="10.5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61"/>
      <c r="L128" s="235"/>
      <c r="M128" s="235"/>
      <c r="N128" s="235"/>
      <c r="O128" s="235"/>
      <c r="P128" s="235"/>
      <c r="Q128" s="298"/>
      <c r="R128" s="234"/>
      <c r="S128" s="235"/>
      <c r="T128" s="235"/>
      <c r="U128" s="235"/>
      <c r="V128" s="235"/>
      <c r="W128" s="235"/>
      <c r="X128" s="235"/>
      <c r="Y128" s="235"/>
      <c r="Z128" s="235"/>
      <c r="AA128" s="235"/>
    </row>
    <row r="129" spans="1:27" ht="10.5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61"/>
      <c r="L129" s="235"/>
      <c r="M129" s="235"/>
      <c r="N129" s="235"/>
      <c r="O129" s="235"/>
      <c r="P129" s="235"/>
      <c r="Q129" s="298"/>
      <c r="R129" s="234"/>
      <c r="S129" s="235"/>
      <c r="T129" s="235"/>
      <c r="U129" s="235"/>
      <c r="V129" s="235"/>
      <c r="W129" s="235"/>
      <c r="X129" s="235"/>
      <c r="Y129" s="235"/>
      <c r="Z129" s="235"/>
      <c r="AA129" s="235"/>
    </row>
    <row r="130" spans="1:27" ht="10.5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61"/>
      <c r="L130" s="235"/>
      <c r="M130" s="235"/>
      <c r="N130" s="235"/>
      <c r="O130" s="235"/>
      <c r="P130" s="235"/>
      <c r="Q130" s="298"/>
      <c r="R130" s="234"/>
      <c r="S130" s="235"/>
      <c r="T130" s="235"/>
      <c r="U130" s="235"/>
      <c r="V130" s="235"/>
      <c r="W130" s="235"/>
      <c r="X130" s="235"/>
      <c r="Y130" s="235"/>
      <c r="Z130" s="235"/>
      <c r="AA130" s="235"/>
    </row>
    <row r="131" spans="1:27" ht="10.5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61"/>
      <c r="L131" s="235"/>
      <c r="M131" s="235"/>
      <c r="N131" s="235"/>
      <c r="O131" s="235"/>
      <c r="P131" s="235"/>
      <c r="Q131" s="298"/>
      <c r="R131" s="234"/>
      <c r="S131" s="235"/>
      <c r="T131" s="235"/>
      <c r="U131" s="235"/>
      <c r="V131" s="235"/>
      <c r="W131" s="235"/>
      <c r="X131" s="235"/>
      <c r="Y131" s="235"/>
      <c r="Z131" s="235"/>
      <c r="AA131" s="235"/>
    </row>
    <row r="132" spans="1:27" ht="10.5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61"/>
      <c r="L132" s="235"/>
      <c r="M132" s="235"/>
      <c r="N132" s="235"/>
      <c r="O132" s="235"/>
      <c r="P132" s="235"/>
      <c r="Q132" s="298"/>
      <c r="R132" s="234"/>
      <c r="S132" s="235"/>
      <c r="T132" s="235"/>
      <c r="U132" s="235"/>
      <c r="V132" s="235"/>
      <c r="W132" s="235"/>
      <c r="X132" s="235"/>
      <c r="Y132" s="235"/>
      <c r="Z132" s="235"/>
      <c r="AA132" s="235"/>
    </row>
    <row r="133" spans="1:27" ht="10.5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61"/>
      <c r="L133" s="235"/>
      <c r="M133" s="235"/>
      <c r="N133" s="235"/>
      <c r="O133" s="235"/>
      <c r="P133" s="235"/>
      <c r="Q133" s="298"/>
      <c r="R133" s="234"/>
      <c r="S133" s="235"/>
      <c r="T133" s="235"/>
      <c r="U133" s="235"/>
      <c r="V133" s="235"/>
      <c r="W133" s="235"/>
      <c r="X133" s="235"/>
      <c r="Y133" s="235"/>
      <c r="Z133" s="235"/>
      <c r="AA133" s="235"/>
    </row>
    <row r="134" spans="1:27" ht="10.5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61"/>
      <c r="L134" s="235"/>
      <c r="M134" s="235"/>
      <c r="N134" s="235"/>
      <c r="O134" s="235"/>
      <c r="P134" s="235"/>
      <c r="Q134" s="298"/>
      <c r="R134" s="234"/>
      <c r="S134" s="235"/>
      <c r="T134" s="235"/>
      <c r="U134" s="235"/>
      <c r="V134" s="235"/>
      <c r="W134" s="235"/>
      <c r="X134" s="235"/>
      <c r="Y134" s="235"/>
      <c r="Z134" s="235"/>
      <c r="AA134" s="235"/>
    </row>
    <row r="135" spans="1:27" ht="10.5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61"/>
      <c r="L135" s="235"/>
      <c r="M135" s="235"/>
      <c r="N135" s="235"/>
      <c r="O135" s="235"/>
      <c r="P135" s="235"/>
      <c r="Q135" s="298"/>
      <c r="R135" s="234"/>
      <c r="S135" s="235"/>
      <c r="T135" s="235"/>
      <c r="U135" s="235"/>
      <c r="V135" s="235"/>
      <c r="W135" s="235"/>
      <c r="X135" s="235"/>
      <c r="Y135" s="235"/>
      <c r="Z135" s="235"/>
      <c r="AA135" s="235"/>
    </row>
    <row r="136" spans="1:27" ht="10.5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61"/>
      <c r="L136" s="235"/>
      <c r="M136" s="235"/>
      <c r="N136" s="235"/>
      <c r="O136" s="235"/>
      <c r="P136" s="235"/>
      <c r="Q136" s="298"/>
      <c r="R136" s="234"/>
      <c r="S136" s="235"/>
      <c r="T136" s="235"/>
      <c r="U136" s="235"/>
      <c r="V136" s="235"/>
      <c r="W136" s="235"/>
      <c r="X136" s="235"/>
      <c r="Y136" s="235"/>
      <c r="Z136" s="235"/>
      <c r="AA136" s="235"/>
    </row>
    <row r="137" spans="1:27" ht="10.5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61"/>
      <c r="L137" s="235"/>
      <c r="M137" s="235"/>
      <c r="N137" s="235"/>
      <c r="O137" s="235"/>
      <c r="P137" s="235"/>
      <c r="Q137" s="298"/>
      <c r="R137" s="234"/>
      <c r="S137" s="235"/>
      <c r="T137" s="235"/>
      <c r="U137" s="235"/>
      <c r="V137" s="235"/>
      <c r="W137" s="235"/>
      <c r="X137" s="235"/>
      <c r="Y137" s="235"/>
      <c r="Z137" s="235"/>
      <c r="AA137" s="235"/>
    </row>
    <row r="138" spans="1:27" ht="10.5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61"/>
      <c r="L138" s="235"/>
      <c r="M138" s="235"/>
      <c r="N138" s="235"/>
      <c r="O138" s="235"/>
      <c r="P138" s="235"/>
      <c r="Q138" s="298"/>
      <c r="R138" s="234"/>
      <c r="S138" s="235"/>
      <c r="T138" s="235"/>
      <c r="U138" s="235"/>
      <c r="V138" s="235"/>
      <c r="W138" s="235"/>
      <c r="X138" s="235"/>
      <c r="Y138" s="235"/>
      <c r="Z138" s="235"/>
      <c r="AA138" s="235"/>
    </row>
    <row r="139" spans="1:27" ht="10.5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61"/>
      <c r="L139" s="235"/>
      <c r="M139" s="235"/>
      <c r="N139" s="235"/>
      <c r="O139" s="235"/>
      <c r="P139" s="235"/>
      <c r="Q139" s="298"/>
      <c r="R139" s="234"/>
      <c r="S139" s="235"/>
      <c r="T139" s="235"/>
      <c r="U139" s="235"/>
      <c r="V139" s="235"/>
      <c r="W139" s="235"/>
      <c r="X139" s="235"/>
      <c r="Y139" s="235"/>
      <c r="Z139" s="235"/>
      <c r="AA139" s="235"/>
    </row>
    <row r="140" spans="1:27" ht="10.5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61"/>
      <c r="L140" s="235"/>
      <c r="M140" s="235"/>
      <c r="N140" s="235"/>
      <c r="O140" s="235"/>
      <c r="P140" s="235"/>
      <c r="Q140" s="298"/>
      <c r="R140" s="234"/>
      <c r="S140" s="235"/>
      <c r="T140" s="235"/>
      <c r="U140" s="235"/>
      <c r="V140" s="235"/>
      <c r="W140" s="235"/>
      <c r="X140" s="235"/>
      <c r="Y140" s="235"/>
      <c r="Z140" s="235"/>
      <c r="AA140" s="235"/>
    </row>
    <row r="141" spans="1:27" ht="10.5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61"/>
      <c r="L141" s="235"/>
      <c r="M141" s="235"/>
      <c r="N141" s="235"/>
      <c r="O141" s="235"/>
      <c r="P141" s="235"/>
      <c r="Q141" s="298"/>
      <c r="R141" s="234"/>
      <c r="S141" s="235"/>
      <c r="T141" s="235"/>
      <c r="U141" s="235"/>
      <c r="V141" s="235"/>
      <c r="W141" s="235"/>
      <c r="X141" s="235"/>
      <c r="Y141" s="235"/>
      <c r="Z141" s="235"/>
      <c r="AA141" s="235"/>
    </row>
    <row r="142" spans="1:27" ht="10.5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61"/>
      <c r="L142" s="235"/>
      <c r="M142" s="235"/>
      <c r="N142" s="235"/>
      <c r="O142" s="235"/>
      <c r="P142" s="235"/>
      <c r="Q142" s="298"/>
      <c r="R142" s="234"/>
      <c r="S142" s="235"/>
      <c r="T142" s="235"/>
      <c r="U142" s="235"/>
      <c r="V142" s="235"/>
      <c r="W142" s="235"/>
      <c r="X142" s="235"/>
      <c r="Y142" s="235"/>
      <c r="Z142" s="235"/>
      <c r="AA142" s="235"/>
    </row>
    <row r="143" spans="1:27" ht="10.5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61"/>
      <c r="L143" s="235"/>
      <c r="M143" s="235"/>
      <c r="N143" s="235"/>
      <c r="O143" s="235"/>
      <c r="P143" s="235"/>
      <c r="Q143" s="298"/>
      <c r="R143" s="234"/>
      <c r="S143" s="235"/>
      <c r="T143" s="235"/>
      <c r="U143" s="235"/>
      <c r="V143" s="235"/>
      <c r="W143" s="235"/>
      <c r="X143" s="235"/>
      <c r="Y143" s="235"/>
      <c r="Z143" s="235"/>
      <c r="AA143" s="235"/>
    </row>
    <row r="144" spans="1:27" ht="10.5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61"/>
      <c r="L144" s="235"/>
      <c r="M144" s="235"/>
      <c r="N144" s="235"/>
      <c r="O144" s="235"/>
      <c r="P144" s="235"/>
      <c r="Q144" s="298"/>
      <c r="R144" s="234"/>
      <c r="S144" s="235"/>
      <c r="T144" s="235"/>
      <c r="U144" s="235"/>
      <c r="V144" s="235"/>
      <c r="W144" s="235"/>
      <c r="X144" s="235"/>
      <c r="Y144" s="235"/>
      <c r="Z144" s="235"/>
      <c r="AA144" s="235"/>
    </row>
    <row r="145" spans="1:27" ht="10.5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61"/>
      <c r="L145" s="235"/>
      <c r="M145" s="235"/>
      <c r="N145" s="235"/>
      <c r="O145" s="235"/>
      <c r="P145" s="235"/>
      <c r="Q145" s="298"/>
      <c r="R145" s="234"/>
      <c r="S145" s="235"/>
      <c r="T145" s="235"/>
      <c r="U145" s="235"/>
      <c r="V145" s="235"/>
      <c r="W145" s="235"/>
      <c r="X145" s="235"/>
      <c r="Y145" s="235"/>
      <c r="Z145" s="235"/>
      <c r="AA145" s="235"/>
    </row>
    <row r="146" spans="1:27" ht="10.5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61"/>
      <c r="L146" s="235"/>
      <c r="M146" s="235"/>
      <c r="N146" s="235"/>
      <c r="O146" s="235"/>
      <c r="P146" s="235"/>
      <c r="Q146" s="298"/>
      <c r="R146" s="234"/>
      <c r="S146" s="235"/>
      <c r="T146" s="235"/>
      <c r="U146" s="235"/>
      <c r="V146" s="235"/>
      <c r="W146" s="235"/>
      <c r="X146" s="235"/>
      <c r="Y146" s="235"/>
      <c r="Z146" s="235"/>
      <c r="AA146" s="235"/>
    </row>
    <row r="147" spans="1:27" ht="10.5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61"/>
      <c r="L147" s="235"/>
      <c r="M147" s="235"/>
      <c r="N147" s="235"/>
      <c r="O147" s="235"/>
      <c r="P147" s="235"/>
      <c r="Q147" s="298"/>
      <c r="R147" s="234"/>
      <c r="S147" s="235"/>
      <c r="T147" s="235"/>
      <c r="U147" s="235"/>
      <c r="V147" s="235"/>
      <c r="W147" s="235"/>
      <c r="X147" s="235"/>
      <c r="Y147" s="235"/>
      <c r="Z147" s="235"/>
      <c r="AA147" s="235"/>
    </row>
    <row r="148" spans="1:27" ht="10.5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61"/>
      <c r="L148" s="235"/>
      <c r="M148" s="235"/>
      <c r="N148" s="235"/>
      <c r="O148" s="235"/>
      <c r="P148" s="235"/>
      <c r="Q148" s="298"/>
      <c r="R148" s="234"/>
      <c r="S148" s="235"/>
      <c r="T148" s="235"/>
      <c r="U148" s="235"/>
      <c r="V148" s="235"/>
      <c r="W148" s="235"/>
      <c r="X148" s="235"/>
      <c r="Y148" s="235"/>
      <c r="Z148" s="235"/>
      <c r="AA148" s="235"/>
    </row>
    <row r="149" spans="1:27" ht="10.5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61"/>
      <c r="L149" s="235"/>
      <c r="M149" s="235"/>
      <c r="N149" s="235"/>
      <c r="O149" s="235"/>
      <c r="P149" s="235"/>
      <c r="Q149" s="298"/>
      <c r="R149" s="234"/>
      <c r="S149" s="235"/>
      <c r="T149" s="235"/>
      <c r="U149" s="235"/>
      <c r="V149" s="235"/>
      <c r="W149" s="235"/>
      <c r="X149" s="235"/>
      <c r="Y149" s="235"/>
      <c r="Z149" s="235"/>
      <c r="AA149" s="235"/>
    </row>
    <row r="150" spans="1:27" ht="10.5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61"/>
      <c r="L150" s="235"/>
      <c r="M150" s="235"/>
      <c r="N150" s="235"/>
      <c r="O150" s="235"/>
      <c r="P150" s="235"/>
      <c r="Q150" s="298"/>
      <c r="R150" s="234"/>
      <c r="S150" s="235"/>
      <c r="T150" s="235"/>
      <c r="U150" s="235"/>
      <c r="V150" s="235"/>
      <c r="W150" s="235"/>
      <c r="X150" s="235"/>
      <c r="Y150" s="235"/>
      <c r="Z150" s="235"/>
      <c r="AA150" s="235"/>
    </row>
    <row r="151" spans="1:27" ht="10.5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61"/>
      <c r="L151" s="235"/>
      <c r="M151" s="235"/>
      <c r="N151" s="235"/>
      <c r="O151" s="235"/>
      <c r="P151" s="235"/>
      <c r="Q151" s="298"/>
      <c r="R151" s="234"/>
      <c r="S151" s="235"/>
      <c r="T151" s="235"/>
      <c r="U151" s="235"/>
      <c r="V151" s="235"/>
      <c r="W151" s="235"/>
      <c r="X151" s="235"/>
      <c r="Y151" s="235"/>
      <c r="Z151" s="235"/>
      <c r="AA151" s="235"/>
    </row>
    <row r="152" spans="1:27" ht="10.5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61"/>
      <c r="L152" s="235"/>
      <c r="M152" s="235"/>
      <c r="N152" s="235"/>
      <c r="O152" s="235"/>
      <c r="P152" s="235"/>
      <c r="Q152" s="298"/>
      <c r="R152" s="234"/>
      <c r="S152" s="235"/>
      <c r="T152" s="235"/>
      <c r="U152" s="235"/>
      <c r="V152" s="235"/>
      <c r="W152" s="235"/>
      <c r="X152" s="235"/>
      <c r="Y152" s="235"/>
      <c r="Z152" s="235"/>
      <c r="AA152" s="235"/>
    </row>
    <row r="153" spans="1:27" ht="10.5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61"/>
      <c r="L153" s="235"/>
      <c r="M153" s="235"/>
      <c r="N153" s="235"/>
      <c r="O153" s="235"/>
      <c r="P153" s="235"/>
      <c r="Q153" s="298"/>
      <c r="R153" s="234"/>
      <c r="S153" s="235"/>
      <c r="T153" s="235"/>
      <c r="U153" s="235"/>
      <c r="V153" s="235"/>
      <c r="W153" s="235"/>
      <c r="X153" s="235"/>
      <c r="Y153" s="235"/>
      <c r="Z153" s="235"/>
      <c r="AA153" s="235"/>
    </row>
    <row r="154" spans="1:27" ht="10.5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61"/>
      <c r="L154" s="235"/>
      <c r="M154" s="235"/>
      <c r="N154" s="235"/>
      <c r="O154" s="235"/>
      <c r="P154" s="235"/>
      <c r="Q154" s="298"/>
      <c r="R154" s="234"/>
      <c r="S154" s="235"/>
      <c r="T154" s="235"/>
      <c r="U154" s="235"/>
      <c r="V154" s="235"/>
      <c r="W154" s="235"/>
      <c r="X154" s="235"/>
      <c r="Y154" s="235"/>
      <c r="Z154" s="235"/>
      <c r="AA154" s="235"/>
    </row>
    <row r="155" spans="1:27" ht="10.5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61"/>
      <c r="L155" s="235"/>
      <c r="M155" s="235"/>
      <c r="N155" s="235"/>
      <c r="O155" s="235"/>
      <c r="P155" s="235"/>
      <c r="Q155" s="298"/>
      <c r="R155" s="234"/>
      <c r="S155" s="235"/>
      <c r="T155" s="235"/>
      <c r="U155" s="235"/>
      <c r="V155" s="235"/>
      <c r="W155" s="235"/>
      <c r="X155" s="235"/>
      <c r="Y155" s="235"/>
      <c r="Z155" s="235"/>
      <c r="AA155" s="235"/>
    </row>
    <row r="156" spans="1:27" ht="10.5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61"/>
      <c r="L156" s="235"/>
      <c r="M156" s="235"/>
      <c r="N156" s="235"/>
      <c r="O156" s="235"/>
      <c r="P156" s="235"/>
      <c r="Q156" s="298"/>
      <c r="R156" s="234"/>
      <c r="S156" s="235"/>
      <c r="T156" s="235"/>
      <c r="U156" s="235"/>
      <c r="V156" s="235"/>
      <c r="W156" s="235"/>
      <c r="X156" s="235"/>
      <c r="Y156" s="235"/>
      <c r="Z156" s="235"/>
      <c r="AA156" s="235"/>
    </row>
    <row r="157" spans="1:27" ht="10.5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61"/>
      <c r="L157" s="235"/>
      <c r="M157" s="235"/>
      <c r="N157" s="235"/>
      <c r="O157" s="235"/>
      <c r="P157" s="235"/>
      <c r="Q157" s="298"/>
      <c r="R157" s="234"/>
      <c r="S157" s="235"/>
      <c r="T157" s="235"/>
      <c r="U157" s="235"/>
      <c r="V157" s="235"/>
      <c r="W157" s="235"/>
      <c r="X157" s="235"/>
      <c r="Y157" s="235"/>
      <c r="Z157" s="235"/>
      <c r="AA157" s="235"/>
    </row>
    <row r="158" spans="1:27" ht="10.5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61"/>
      <c r="L158" s="235"/>
      <c r="M158" s="235"/>
      <c r="N158" s="235"/>
      <c r="O158" s="235"/>
      <c r="P158" s="235"/>
      <c r="Q158" s="298"/>
      <c r="R158" s="234"/>
      <c r="S158" s="235"/>
      <c r="T158" s="235"/>
      <c r="U158" s="235"/>
      <c r="V158" s="235"/>
      <c r="W158" s="235"/>
      <c r="X158" s="235"/>
      <c r="Y158" s="235"/>
      <c r="Z158" s="235"/>
      <c r="AA158" s="235"/>
    </row>
    <row r="159" spans="1:27" ht="10.5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61"/>
      <c r="L159" s="235"/>
      <c r="M159" s="235"/>
      <c r="N159" s="235"/>
      <c r="O159" s="235"/>
      <c r="P159" s="235"/>
      <c r="Q159" s="298"/>
      <c r="R159" s="234"/>
      <c r="S159" s="235"/>
      <c r="T159" s="235"/>
      <c r="U159" s="235"/>
      <c r="V159" s="235"/>
      <c r="W159" s="235"/>
      <c r="X159" s="235"/>
      <c r="Y159" s="235"/>
      <c r="Z159" s="235"/>
      <c r="AA159" s="235"/>
    </row>
    <row r="160" spans="1:27" ht="10.5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61"/>
      <c r="L160" s="235"/>
      <c r="M160" s="235"/>
      <c r="N160" s="235"/>
      <c r="O160" s="235"/>
      <c r="P160" s="235"/>
      <c r="Q160" s="298"/>
      <c r="R160" s="234"/>
      <c r="S160" s="235"/>
      <c r="T160" s="235"/>
      <c r="U160" s="235"/>
      <c r="V160" s="235"/>
      <c r="W160" s="235"/>
      <c r="X160" s="235"/>
      <c r="Y160" s="235"/>
      <c r="Z160" s="235"/>
      <c r="AA160" s="235"/>
    </row>
    <row r="161" spans="1:27" ht="10.5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61"/>
      <c r="L161" s="235"/>
      <c r="M161" s="235"/>
      <c r="N161" s="235"/>
      <c r="O161" s="235"/>
      <c r="P161" s="235"/>
      <c r="Q161" s="298"/>
      <c r="R161" s="234"/>
      <c r="S161" s="235"/>
      <c r="T161" s="235"/>
      <c r="U161" s="235"/>
      <c r="V161" s="235"/>
      <c r="W161" s="235"/>
      <c r="X161" s="235"/>
      <c r="Y161" s="235"/>
      <c r="Z161" s="235"/>
      <c r="AA161" s="235"/>
    </row>
    <row r="162" spans="1:27" ht="10.5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61"/>
      <c r="L162" s="235"/>
      <c r="M162" s="235"/>
      <c r="N162" s="235"/>
      <c r="O162" s="235"/>
      <c r="P162" s="235"/>
      <c r="Q162" s="298"/>
      <c r="R162" s="234"/>
      <c r="S162" s="235"/>
      <c r="T162" s="235"/>
      <c r="U162" s="235"/>
      <c r="V162" s="235"/>
      <c r="W162" s="235"/>
      <c r="X162" s="235"/>
      <c r="Y162" s="235"/>
      <c r="Z162" s="235"/>
      <c r="AA162" s="235"/>
    </row>
    <row r="163" spans="1:27" ht="10.5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61"/>
      <c r="L163" s="235"/>
      <c r="M163" s="235"/>
      <c r="N163" s="235"/>
      <c r="O163" s="235"/>
      <c r="P163" s="235"/>
      <c r="Q163" s="298"/>
      <c r="R163" s="234"/>
      <c r="S163" s="235"/>
      <c r="T163" s="235"/>
      <c r="U163" s="235"/>
      <c r="V163" s="235"/>
      <c r="W163" s="235"/>
      <c r="X163" s="235"/>
      <c r="Y163" s="235"/>
      <c r="Z163" s="235"/>
      <c r="AA163" s="235"/>
    </row>
    <row r="164" spans="1:27" ht="10.5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61"/>
      <c r="L164" s="235"/>
      <c r="M164" s="235"/>
      <c r="N164" s="235"/>
      <c r="O164" s="235"/>
      <c r="P164" s="235"/>
      <c r="Q164" s="298"/>
      <c r="R164" s="234"/>
      <c r="S164" s="235"/>
      <c r="T164" s="235"/>
      <c r="U164" s="235"/>
      <c r="V164" s="235"/>
      <c r="W164" s="235"/>
      <c r="X164" s="235"/>
      <c r="Y164" s="235"/>
      <c r="Z164" s="235"/>
      <c r="AA164" s="235"/>
    </row>
    <row r="165" spans="1:27" ht="10.5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61"/>
      <c r="L165" s="235"/>
      <c r="M165" s="235"/>
      <c r="N165" s="235"/>
      <c r="O165" s="235"/>
      <c r="P165" s="235"/>
      <c r="Q165" s="298"/>
      <c r="R165" s="234"/>
      <c r="S165" s="235"/>
      <c r="T165" s="235"/>
      <c r="U165" s="235"/>
      <c r="V165" s="235"/>
      <c r="W165" s="235"/>
      <c r="X165" s="235"/>
      <c r="Y165" s="235"/>
      <c r="Z165" s="235"/>
      <c r="AA165" s="235"/>
    </row>
    <row r="166" spans="1:27" ht="10.5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61"/>
      <c r="L166" s="235"/>
      <c r="M166" s="235"/>
      <c r="N166" s="235"/>
      <c r="O166" s="235"/>
      <c r="P166" s="235"/>
      <c r="Q166" s="298"/>
      <c r="R166" s="234"/>
      <c r="S166" s="235"/>
      <c r="T166" s="235"/>
      <c r="U166" s="235"/>
      <c r="V166" s="235"/>
      <c r="W166" s="235"/>
      <c r="X166" s="235"/>
      <c r="Y166" s="235"/>
      <c r="Z166" s="235"/>
      <c r="AA166" s="235"/>
    </row>
    <row r="167" spans="1:27" ht="10.5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61"/>
      <c r="L167" s="235"/>
      <c r="M167" s="235"/>
      <c r="N167" s="235"/>
      <c r="O167" s="235"/>
      <c r="P167" s="235"/>
      <c r="Q167" s="298"/>
      <c r="R167" s="234"/>
      <c r="S167" s="235"/>
      <c r="T167" s="235"/>
      <c r="U167" s="235"/>
      <c r="V167" s="235"/>
      <c r="W167" s="235"/>
      <c r="X167" s="235"/>
      <c r="Y167" s="235"/>
      <c r="Z167" s="235"/>
      <c r="AA167" s="235"/>
    </row>
    <row r="168" spans="1:27" ht="10.5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61"/>
      <c r="L168" s="235"/>
      <c r="M168" s="235"/>
      <c r="N168" s="235"/>
      <c r="O168" s="235"/>
      <c r="P168" s="235"/>
      <c r="Q168" s="298"/>
      <c r="R168" s="234"/>
      <c r="S168" s="235"/>
      <c r="T168" s="235"/>
      <c r="U168" s="235"/>
      <c r="V168" s="235"/>
      <c r="W168" s="235"/>
      <c r="X168" s="235"/>
      <c r="Y168" s="235"/>
      <c r="Z168" s="235"/>
      <c r="AA168" s="235"/>
    </row>
    <row r="169" spans="1:27" ht="10.5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61"/>
      <c r="L169" s="235"/>
      <c r="M169" s="235"/>
      <c r="N169" s="235"/>
      <c r="O169" s="235"/>
      <c r="P169" s="235"/>
      <c r="Q169" s="298"/>
      <c r="R169" s="234"/>
      <c r="S169" s="235"/>
      <c r="T169" s="235"/>
      <c r="U169" s="235"/>
      <c r="V169" s="235"/>
      <c r="W169" s="235"/>
      <c r="X169" s="235"/>
      <c r="Y169" s="235"/>
      <c r="Z169" s="235"/>
      <c r="AA169" s="235"/>
    </row>
    <row r="170" spans="1:27" ht="10.5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61"/>
      <c r="L170" s="235"/>
      <c r="M170" s="235"/>
      <c r="N170" s="235"/>
      <c r="O170" s="235"/>
      <c r="P170" s="235"/>
      <c r="Q170" s="298"/>
      <c r="R170" s="234"/>
      <c r="S170" s="235"/>
      <c r="T170" s="235"/>
      <c r="U170" s="235"/>
      <c r="V170" s="235"/>
      <c r="W170" s="235"/>
      <c r="X170" s="235"/>
      <c r="Y170" s="235"/>
      <c r="Z170" s="235"/>
      <c r="AA170" s="235"/>
    </row>
    <row r="171" spans="1:27" ht="10.5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61"/>
      <c r="L171" s="235"/>
      <c r="M171" s="235"/>
      <c r="N171" s="235"/>
      <c r="O171" s="235"/>
      <c r="P171" s="235"/>
      <c r="Q171" s="298"/>
      <c r="R171" s="234"/>
      <c r="S171" s="235"/>
      <c r="T171" s="235"/>
      <c r="U171" s="235"/>
      <c r="V171" s="235"/>
      <c r="W171" s="235"/>
      <c r="X171" s="235"/>
      <c r="Y171" s="235"/>
      <c r="Z171" s="235"/>
      <c r="AA171" s="235"/>
    </row>
    <row r="172" spans="1:27" ht="10.5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61"/>
      <c r="L172" s="235"/>
      <c r="M172" s="235"/>
      <c r="N172" s="235"/>
      <c r="O172" s="235"/>
      <c r="P172" s="235"/>
      <c r="Q172" s="298"/>
      <c r="R172" s="234"/>
      <c r="S172" s="235"/>
      <c r="T172" s="235"/>
      <c r="U172" s="235"/>
      <c r="V172" s="235"/>
      <c r="W172" s="235"/>
      <c r="X172" s="235"/>
      <c r="Y172" s="235"/>
      <c r="Z172" s="235"/>
      <c r="AA172" s="235"/>
    </row>
    <row r="173" spans="1:27" ht="10.5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61"/>
      <c r="L173" s="235"/>
      <c r="M173" s="235"/>
      <c r="N173" s="235"/>
      <c r="O173" s="235"/>
      <c r="P173" s="235"/>
      <c r="Q173" s="298"/>
      <c r="R173" s="234"/>
      <c r="S173" s="235"/>
      <c r="T173" s="235"/>
      <c r="U173" s="235"/>
      <c r="V173" s="235"/>
      <c r="W173" s="235"/>
      <c r="X173" s="235"/>
      <c r="Y173" s="235"/>
      <c r="Z173" s="235"/>
      <c r="AA173" s="235"/>
    </row>
    <row r="174" spans="1:27" ht="10.5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61"/>
      <c r="L174" s="235"/>
      <c r="M174" s="235"/>
      <c r="N174" s="235"/>
      <c r="O174" s="235"/>
      <c r="P174" s="235"/>
      <c r="Q174" s="298"/>
      <c r="R174" s="234"/>
      <c r="S174" s="235"/>
      <c r="T174" s="235"/>
      <c r="U174" s="235"/>
      <c r="V174" s="235"/>
      <c r="W174" s="235"/>
      <c r="X174" s="235"/>
      <c r="Y174" s="235"/>
      <c r="Z174" s="235"/>
      <c r="AA174" s="235"/>
    </row>
    <row r="175" spans="1:27" ht="10.5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61"/>
      <c r="L175" s="235"/>
      <c r="M175" s="235"/>
      <c r="N175" s="235"/>
      <c r="O175" s="235"/>
      <c r="P175" s="235"/>
      <c r="Q175" s="298"/>
      <c r="R175" s="234"/>
      <c r="S175" s="235"/>
      <c r="T175" s="235"/>
      <c r="U175" s="235"/>
      <c r="V175" s="235"/>
      <c r="W175" s="235"/>
      <c r="X175" s="235"/>
      <c r="Y175" s="235"/>
      <c r="Z175" s="235"/>
      <c r="AA175" s="235"/>
    </row>
    <row r="176" spans="1:27" ht="10.5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61"/>
      <c r="L176" s="235"/>
      <c r="M176" s="235"/>
      <c r="N176" s="235"/>
      <c r="O176" s="235"/>
      <c r="P176" s="235"/>
      <c r="Q176" s="298"/>
      <c r="R176" s="234"/>
      <c r="S176" s="235"/>
      <c r="T176" s="235"/>
      <c r="U176" s="235"/>
      <c r="V176" s="235"/>
      <c r="W176" s="235"/>
      <c r="X176" s="235"/>
      <c r="Y176" s="235"/>
      <c r="Z176" s="235"/>
      <c r="AA176" s="235"/>
    </row>
    <row r="177" spans="1:27" ht="10.5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61"/>
      <c r="L177" s="235"/>
      <c r="M177" s="235"/>
      <c r="N177" s="235"/>
      <c r="O177" s="235"/>
      <c r="P177" s="235"/>
      <c r="Q177" s="298"/>
      <c r="R177" s="234"/>
      <c r="S177" s="235"/>
      <c r="T177" s="235"/>
      <c r="U177" s="235"/>
      <c r="V177" s="235"/>
      <c r="W177" s="235"/>
      <c r="X177" s="235"/>
      <c r="Y177" s="235"/>
      <c r="Z177" s="235"/>
      <c r="AA177" s="235"/>
    </row>
    <row r="178" spans="1:27" ht="10.5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61"/>
      <c r="L178" s="235"/>
      <c r="M178" s="235"/>
      <c r="N178" s="235"/>
      <c r="O178" s="235"/>
      <c r="P178" s="235"/>
      <c r="Q178" s="298"/>
      <c r="R178" s="234"/>
      <c r="S178" s="235"/>
      <c r="T178" s="235"/>
      <c r="U178" s="235"/>
      <c r="V178" s="235"/>
      <c r="W178" s="235"/>
      <c r="X178" s="235"/>
      <c r="Y178" s="235"/>
      <c r="Z178" s="235"/>
      <c r="AA178" s="235"/>
    </row>
    <row r="179" spans="1:27" ht="10.5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61"/>
      <c r="L179" s="235"/>
      <c r="M179" s="235"/>
      <c r="N179" s="235"/>
      <c r="O179" s="235"/>
      <c r="P179" s="235"/>
      <c r="Q179" s="298"/>
      <c r="R179" s="234"/>
      <c r="S179" s="235"/>
      <c r="T179" s="235"/>
      <c r="U179" s="235"/>
      <c r="V179" s="235"/>
      <c r="W179" s="235"/>
      <c r="X179" s="235"/>
      <c r="Y179" s="235"/>
      <c r="Z179" s="235"/>
      <c r="AA179" s="235"/>
    </row>
    <row r="180" spans="1:27" ht="10.5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61"/>
      <c r="L180" s="235"/>
      <c r="M180" s="235"/>
      <c r="N180" s="235"/>
      <c r="O180" s="235"/>
      <c r="P180" s="235"/>
      <c r="Q180" s="298"/>
      <c r="R180" s="234"/>
      <c r="S180" s="235"/>
      <c r="T180" s="235"/>
      <c r="U180" s="235"/>
      <c r="V180" s="235"/>
      <c r="W180" s="235"/>
      <c r="X180" s="235"/>
      <c r="Y180" s="235"/>
      <c r="Z180" s="235"/>
      <c r="AA180" s="235"/>
    </row>
    <row r="181" spans="1:27" ht="10.5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61"/>
      <c r="L181" s="235"/>
      <c r="M181" s="235"/>
      <c r="N181" s="235"/>
      <c r="O181" s="235"/>
      <c r="P181" s="235"/>
      <c r="Q181" s="298"/>
      <c r="R181" s="234"/>
      <c r="S181" s="235"/>
      <c r="T181" s="235"/>
      <c r="U181" s="235"/>
      <c r="V181" s="235"/>
      <c r="W181" s="235"/>
      <c r="X181" s="235"/>
      <c r="Y181" s="235"/>
      <c r="Z181" s="235"/>
      <c r="AA181" s="235"/>
    </row>
    <row r="182" spans="1:27" ht="10.5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61"/>
      <c r="L182" s="235"/>
      <c r="M182" s="235"/>
      <c r="N182" s="235"/>
      <c r="O182" s="235"/>
      <c r="P182" s="235"/>
      <c r="Q182" s="298"/>
      <c r="R182" s="234"/>
      <c r="S182" s="235"/>
      <c r="T182" s="235"/>
      <c r="U182" s="235"/>
      <c r="V182" s="235"/>
      <c r="W182" s="235"/>
      <c r="X182" s="235"/>
      <c r="Y182" s="235"/>
      <c r="Z182" s="235"/>
      <c r="AA182" s="235"/>
    </row>
    <row r="183" spans="1:27" ht="10.5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61"/>
      <c r="L183" s="235"/>
      <c r="M183" s="235"/>
      <c r="N183" s="235"/>
      <c r="O183" s="235"/>
      <c r="P183" s="235"/>
      <c r="Q183" s="298"/>
      <c r="R183" s="234"/>
      <c r="S183" s="235"/>
      <c r="T183" s="235"/>
      <c r="U183" s="235"/>
      <c r="V183" s="235"/>
      <c r="W183" s="235"/>
      <c r="X183" s="235"/>
      <c r="Y183" s="235"/>
      <c r="Z183" s="235"/>
      <c r="AA183" s="235"/>
    </row>
    <row r="184" spans="1:27" ht="10.5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61"/>
      <c r="L184" s="235"/>
      <c r="M184" s="235"/>
      <c r="N184" s="235"/>
      <c r="O184" s="235"/>
      <c r="P184" s="235"/>
      <c r="Q184" s="298"/>
      <c r="R184" s="234"/>
      <c r="S184" s="235"/>
      <c r="T184" s="235"/>
      <c r="U184" s="235"/>
      <c r="V184" s="235"/>
      <c r="W184" s="235"/>
      <c r="X184" s="235"/>
      <c r="Y184" s="235"/>
      <c r="Z184" s="235"/>
      <c r="AA184" s="235"/>
    </row>
    <row r="185" spans="1:27" ht="10.5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61"/>
      <c r="L185" s="235"/>
      <c r="M185" s="235"/>
      <c r="N185" s="235"/>
      <c r="O185" s="235"/>
      <c r="P185" s="235"/>
      <c r="Q185" s="298"/>
      <c r="R185" s="234"/>
      <c r="S185" s="235"/>
      <c r="T185" s="235"/>
      <c r="U185" s="235"/>
      <c r="V185" s="235"/>
      <c r="W185" s="235"/>
      <c r="X185" s="235"/>
      <c r="Y185" s="235"/>
      <c r="Z185" s="235"/>
      <c r="AA185" s="235"/>
    </row>
    <row r="186" spans="1:27" ht="10.5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61"/>
      <c r="L186" s="235"/>
      <c r="M186" s="235"/>
      <c r="N186" s="235"/>
      <c r="O186" s="235"/>
      <c r="P186" s="235"/>
      <c r="Q186" s="298"/>
      <c r="R186" s="234"/>
      <c r="S186" s="235"/>
      <c r="T186" s="235"/>
      <c r="U186" s="235"/>
      <c r="V186" s="235"/>
      <c r="W186" s="235"/>
      <c r="X186" s="235"/>
      <c r="Y186" s="235"/>
      <c r="Z186" s="235"/>
      <c r="AA186" s="235"/>
    </row>
    <row r="187" spans="1:27" ht="10.5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61"/>
      <c r="L187" s="235"/>
      <c r="M187" s="235"/>
      <c r="N187" s="235"/>
      <c r="O187" s="235"/>
      <c r="P187" s="235"/>
      <c r="Q187" s="298"/>
      <c r="R187" s="234"/>
      <c r="S187" s="235"/>
      <c r="T187" s="235"/>
      <c r="U187" s="235"/>
      <c r="V187" s="235"/>
      <c r="W187" s="235"/>
      <c r="X187" s="235"/>
      <c r="Y187" s="235"/>
      <c r="Z187" s="235"/>
      <c r="AA187" s="235"/>
    </row>
    <row r="188" spans="1:27" ht="10.5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61"/>
      <c r="L188" s="235"/>
      <c r="M188" s="235"/>
      <c r="N188" s="235"/>
      <c r="O188" s="235"/>
      <c r="P188" s="235"/>
      <c r="Q188" s="298"/>
      <c r="R188" s="234"/>
      <c r="S188" s="235"/>
      <c r="T188" s="235"/>
      <c r="U188" s="235"/>
      <c r="V188" s="235"/>
      <c r="W188" s="235"/>
      <c r="X188" s="235"/>
      <c r="Y188" s="235"/>
      <c r="Z188" s="235"/>
      <c r="AA188" s="235"/>
    </row>
    <row r="189" spans="1:27" ht="10.5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61"/>
      <c r="L189" s="235"/>
      <c r="M189" s="235"/>
      <c r="N189" s="235"/>
      <c r="O189" s="235"/>
      <c r="P189" s="235"/>
      <c r="Q189" s="298"/>
      <c r="R189" s="234"/>
      <c r="S189" s="235"/>
      <c r="T189" s="235"/>
      <c r="U189" s="235"/>
      <c r="V189" s="235"/>
      <c r="W189" s="235"/>
      <c r="X189" s="235"/>
      <c r="Y189" s="235"/>
      <c r="Z189" s="235"/>
      <c r="AA189" s="235"/>
    </row>
    <row r="190" spans="1:27" ht="10.5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61"/>
      <c r="L190" s="235"/>
      <c r="M190" s="235"/>
      <c r="N190" s="235"/>
      <c r="O190" s="235"/>
      <c r="P190" s="235"/>
      <c r="Q190" s="298"/>
      <c r="R190" s="234"/>
      <c r="S190" s="235"/>
      <c r="T190" s="235"/>
      <c r="U190" s="235"/>
      <c r="V190" s="235"/>
      <c r="W190" s="235"/>
      <c r="X190" s="235"/>
      <c r="Y190" s="235"/>
      <c r="Z190" s="235"/>
      <c r="AA190" s="235"/>
    </row>
    <row r="191" spans="1:27" ht="10.5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61"/>
      <c r="L191" s="235"/>
      <c r="M191" s="235"/>
      <c r="N191" s="235"/>
      <c r="O191" s="235"/>
      <c r="P191" s="235"/>
      <c r="Q191" s="298"/>
      <c r="R191" s="234"/>
      <c r="S191" s="235"/>
      <c r="T191" s="235"/>
      <c r="U191" s="235"/>
      <c r="V191" s="235"/>
      <c r="W191" s="235"/>
      <c r="X191" s="235"/>
      <c r="Y191" s="235"/>
      <c r="Z191" s="235"/>
      <c r="AA191" s="235"/>
    </row>
    <row r="192" spans="1:27" ht="10.5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61"/>
      <c r="L192" s="235"/>
      <c r="M192" s="235"/>
      <c r="N192" s="235"/>
      <c r="O192" s="235"/>
      <c r="P192" s="235"/>
      <c r="Q192" s="298"/>
      <c r="R192" s="234"/>
      <c r="S192" s="235"/>
      <c r="T192" s="235"/>
      <c r="U192" s="235"/>
      <c r="V192" s="235"/>
      <c r="W192" s="235"/>
      <c r="X192" s="235"/>
      <c r="Y192" s="235"/>
      <c r="Z192" s="235"/>
      <c r="AA192" s="235"/>
    </row>
    <row r="193" spans="1:27" ht="10.5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61"/>
      <c r="L193" s="235"/>
      <c r="M193" s="235"/>
      <c r="N193" s="235"/>
      <c r="O193" s="235"/>
      <c r="P193" s="235"/>
      <c r="Q193" s="298"/>
      <c r="R193" s="234"/>
      <c r="S193" s="235"/>
      <c r="T193" s="235"/>
      <c r="U193" s="235"/>
      <c r="V193" s="235"/>
      <c r="W193" s="235"/>
      <c r="X193" s="235"/>
      <c r="Y193" s="235"/>
      <c r="Z193" s="235"/>
      <c r="AA193" s="235"/>
    </row>
    <row r="194" spans="1:27" ht="10.5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61"/>
      <c r="L194" s="235"/>
      <c r="M194" s="235"/>
      <c r="N194" s="235"/>
      <c r="O194" s="235"/>
      <c r="P194" s="235"/>
      <c r="Q194" s="298"/>
      <c r="R194" s="234"/>
      <c r="S194" s="235"/>
      <c r="T194" s="235"/>
      <c r="U194" s="235"/>
      <c r="V194" s="235"/>
      <c r="W194" s="235"/>
      <c r="X194" s="235"/>
      <c r="Y194" s="235"/>
      <c r="Z194" s="235"/>
      <c r="AA194" s="235"/>
    </row>
    <row r="195" spans="1:27" ht="10.5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61"/>
      <c r="L195" s="235"/>
      <c r="M195" s="235"/>
      <c r="N195" s="235"/>
      <c r="O195" s="235"/>
      <c r="P195" s="235"/>
      <c r="Q195" s="298"/>
      <c r="R195" s="234"/>
      <c r="S195" s="235"/>
      <c r="T195" s="235"/>
      <c r="U195" s="235"/>
      <c r="V195" s="235"/>
      <c r="W195" s="235"/>
      <c r="X195" s="235"/>
      <c r="Y195" s="235"/>
      <c r="Z195" s="235"/>
      <c r="AA195" s="235"/>
    </row>
    <row r="196" spans="1:27" ht="10.5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61"/>
      <c r="L196" s="235"/>
      <c r="M196" s="235"/>
      <c r="N196" s="235"/>
      <c r="O196" s="235"/>
      <c r="P196" s="235"/>
      <c r="Q196" s="298"/>
      <c r="R196" s="234"/>
      <c r="S196" s="235"/>
      <c r="T196" s="235"/>
      <c r="U196" s="235"/>
      <c r="V196" s="235"/>
      <c r="W196" s="235"/>
      <c r="X196" s="235"/>
      <c r="Y196" s="235"/>
      <c r="Z196" s="235"/>
      <c r="AA196" s="235"/>
    </row>
    <row r="197" spans="1:27" ht="10.5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61"/>
      <c r="L197" s="235"/>
      <c r="M197" s="235"/>
      <c r="N197" s="235"/>
      <c r="O197" s="235"/>
      <c r="P197" s="235"/>
      <c r="Q197" s="298"/>
      <c r="R197" s="234"/>
      <c r="S197" s="235"/>
      <c r="T197" s="235"/>
      <c r="U197" s="235"/>
      <c r="V197" s="235"/>
      <c r="W197" s="235"/>
      <c r="X197" s="235"/>
      <c r="Y197" s="235"/>
      <c r="Z197" s="235"/>
      <c r="AA197" s="235"/>
    </row>
    <row r="198" spans="1:27" ht="10.5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61"/>
      <c r="L198" s="235"/>
      <c r="M198" s="235"/>
      <c r="N198" s="235"/>
      <c r="O198" s="235"/>
      <c r="P198" s="235"/>
      <c r="Q198" s="298"/>
      <c r="R198" s="234"/>
      <c r="S198" s="235"/>
      <c r="T198" s="235"/>
      <c r="U198" s="235"/>
      <c r="V198" s="235"/>
      <c r="W198" s="235"/>
      <c r="X198" s="235"/>
      <c r="Y198" s="235"/>
      <c r="Z198" s="235"/>
      <c r="AA198" s="235"/>
    </row>
    <row r="199" spans="1:27" ht="10.5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61"/>
      <c r="L199" s="235"/>
      <c r="M199" s="235"/>
      <c r="N199" s="235"/>
      <c r="O199" s="235"/>
      <c r="P199" s="235"/>
      <c r="Q199" s="298"/>
      <c r="R199" s="234"/>
      <c r="S199" s="235"/>
      <c r="T199" s="235"/>
      <c r="U199" s="235"/>
      <c r="V199" s="235"/>
      <c r="W199" s="235"/>
      <c r="X199" s="235"/>
      <c r="Y199" s="235"/>
      <c r="Z199" s="235"/>
      <c r="AA199" s="235"/>
    </row>
    <row r="200" spans="1:27" ht="10.5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61"/>
      <c r="L200" s="235"/>
      <c r="M200" s="235"/>
      <c r="N200" s="235"/>
      <c r="O200" s="235"/>
      <c r="P200" s="235"/>
      <c r="Q200" s="298"/>
      <c r="R200" s="234"/>
      <c r="S200" s="235"/>
      <c r="T200" s="235"/>
      <c r="U200" s="235"/>
      <c r="V200" s="235"/>
      <c r="W200" s="235"/>
      <c r="X200" s="235"/>
      <c r="Y200" s="235"/>
      <c r="Z200" s="235"/>
      <c r="AA200" s="235"/>
    </row>
    <row r="201" spans="1:27" ht="10.5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61"/>
      <c r="L201" s="235"/>
      <c r="M201" s="235"/>
      <c r="N201" s="235"/>
      <c r="O201" s="235"/>
      <c r="P201" s="235"/>
      <c r="Q201" s="298"/>
      <c r="R201" s="234"/>
      <c r="S201" s="235"/>
      <c r="T201" s="235"/>
      <c r="U201" s="235"/>
      <c r="V201" s="235"/>
      <c r="W201" s="235"/>
      <c r="X201" s="235"/>
      <c r="Y201" s="235"/>
      <c r="Z201" s="235"/>
      <c r="AA201" s="235"/>
    </row>
    <row r="202" spans="1:27" ht="10.5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61"/>
      <c r="L202" s="235"/>
      <c r="M202" s="235"/>
      <c r="N202" s="235"/>
      <c r="O202" s="235"/>
      <c r="P202" s="235"/>
      <c r="Q202" s="298"/>
      <c r="R202" s="234"/>
      <c r="S202" s="235"/>
      <c r="T202" s="235"/>
      <c r="U202" s="235"/>
      <c r="V202" s="235"/>
      <c r="W202" s="235"/>
      <c r="X202" s="235"/>
      <c r="Y202" s="235"/>
      <c r="Z202" s="235"/>
      <c r="AA202" s="235"/>
    </row>
    <row r="203" spans="1:27" ht="10.5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61"/>
      <c r="L203" s="235"/>
      <c r="M203" s="235"/>
      <c r="N203" s="235"/>
      <c r="O203" s="235"/>
      <c r="P203" s="235"/>
      <c r="Q203" s="298"/>
      <c r="R203" s="234"/>
      <c r="S203" s="235"/>
      <c r="T203" s="235"/>
      <c r="U203" s="235"/>
      <c r="V203" s="235"/>
      <c r="W203" s="235"/>
      <c r="X203" s="235"/>
      <c r="Y203" s="235"/>
      <c r="Z203" s="235"/>
      <c r="AA203" s="235"/>
    </row>
    <row r="204" spans="1:27" ht="10.5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61"/>
      <c r="L204" s="235"/>
      <c r="M204" s="235"/>
      <c r="N204" s="235"/>
      <c r="O204" s="235"/>
      <c r="P204" s="235"/>
      <c r="Q204" s="298"/>
      <c r="R204" s="234"/>
      <c r="S204" s="235"/>
      <c r="T204" s="235"/>
      <c r="U204" s="235"/>
      <c r="V204" s="235"/>
      <c r="W204" s="235"/>
      <c r="X204" s="235"/>
      <c r="Y204" s="235"/>
      <c r="Z204" s="235"/>
      <c r="AA204" s="235"/>
    </row>
    <row r="205" spans="1:27" ht="10.5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61"/>
      <c r="L205" s="235"/>
      <c r="M205" s="235"/>
      <c r="N205" s="235"/>
      <c r="O205" s="235"/>
      <c r="P205" s="235"/>
      <c r="Q205" s="298"/>
      <c r="R205" s="234"/>
      <c r="S205" s="235"/>
      <c r="T205" s="235"/>
      <c r="U205" s="235"/>
      <c r="V205" s="235"/>
      <c r="W205" s="235"/>
      <c r="X205" s="235"/>
      <c r="Y205" s="235"/>
      <c r="Z205" s="235"/>
      <c r="AA205" s="235"/>
    </row>
    <row r="206" spans="1:27" ht="10.5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61"/>
      <c r="L206" s="235"/>
      <c r="M206" s="235"/>
      <c r="N206" s="235"/>
      <c r="O206" s="235"/>
      <c r="P206" s="235"/>
      <c r="Q206" s="298"/>
      <c r="R206" s="234"/>
      <c r="S206" s="235"/>
      <c r="T206" s="235"/>
      <c r="U206" s="235"/>
      <c r="V206" s="235"/>
      <c r="W206" s="235"/>
      <c r="X206" s="235"/>
      <c r="Y206" s="235"/>
      <c r="Z206" s="235"/>
      <c r="AA206" s="235"/>
    </row>
    <row r="207" spans="1:27" ht="10.5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61"/>
      <c r="L207" s="235"/>
      <c r="M207" s="235"/>
      <c r="N207" s="235"/>
      <c r="O207" s="235"/>
      <c r="P207" s="235"/>
      <c r="Q207" s="298"/>
      <c r="R207" s="234"/>
      <c r="S207" s="235"/>
      <c r="T207" s="235"/>
      <c r="U207" s="235"/>
      <c r="V207" s="235"/>
      <c r="W207" s="235"/>
      <c r="X207" s="235"/>
      <c r="Y207" s="235"/>
      <c r="Z207" s="235"/>
      <c r="AA207" s="235"/>
    </row>
    <row r="208" spans="1:27" ht="10.5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61"/>
      <c r="L208" s="235"/>
      <c r="M208" s="235"/>
      <c r="N208" s="235"/>
      <c r="O208" s="235"/>
      <c r="P208" s="235"/>
      <c r="Q208" s="298"/>
      <c r="R208" s="234"/>
      <c r="S208" s="235"/>
      <c r="T208" s="235"/>
      <c r="U208" s="235"/>
      <c r="V208" s="235"/>
      <c r="W208" s="235"/>
      <c r="X208" s="235"/>
      <c r="Y208" s="235"/>
      <c r="Z208" s="235"/>
      <c r="AA208" s="235"/>
    </row>
    <row r="209" spans="1:27" ht="10.5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61"/>
      <c r="L209" s="235"/>
      <c r="M209" s="235"/>
      <c r="N209" s="235"/>
      <c r="O209" s="235"/>
      <c r="P209" s="235"/>
      <c r="Q209" s="298"/>
      <c r="R209" s="234"/>
      <c r="S209" s="235"/>
      <c r="T209" s="235"/>
      <c r="U209" s="235"/>
      <c r="V209" s="235"/>
      <c r="W209" s="235"/>
      <c r="X209" s="235"/>
      <c r="Y209" s="235"/>
      <c r="Z209" s="235"/>
      <c r="AA209" s="235"/>
    </row>
    <row r="210" spans="1:27" ht="10.5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61"/>
      <c r="L210" s="235"/>
      <c r="M210" s="235"/>
      <c r="N210" s="235"/>
      <c r="O210" s="235"/>
      <c r="P210" s="235"/>
      <c r="Q210" s="298"/>
      <c r="R210" s="234"/>
      <c r="S210" s="235"/>
      <c r="T210" s="235"/>
      <c r="U210" s="235"/>
      <c r="V210" s="235"/>
      <c r="W210" s="235"/>
      <c r="X210" s="235"/>
      <c r="Y210" s="235"/>
      <c r="Z210" s="235"/>
      <c r="AA210" s="235"/>
    </row>
    <row r="211" spans="1:27" ht="10.5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61"/>
      <c r="L211" s="235"/>
      <c r="M211" s="235"/>
      <c r="N211" s="235"/>
      <c r="O211" s="235"/>
      <c r="P211" s="235"/>
      <c r="Q211" s="298"/>
      <c r="R211" s="234"/>
      <c r="S211" s="235"/>
      <c r="T211" s="235"/>
      <c r="U211" s="235"/>
      <c r="V211" s="235"/>
      <c r="W211" s="235"/>
      <c r="X211" s="235"/>
      <c r="Y211" s="235"/>
      <c r="Z211" s="235"/>
      <c r="AA211" s="235"/>
    </row>
    <row r="212" spans="1:27" ht="10.5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61"/>
      <c r="L212" s="235"/>
      <c r="M212" s="235"/>
      <c r="N212" s="235"/>
      <c r="O212" s="235"/>
      <c r="P212" s="235"/>
      <c r="Q212" s="298"/>
      <c r="R212" s="234"/>
      <c r="S212" s="235"/>
      <c r="T212" s="235"/>
      <c r="U212" s="235"/>
      <c r="V212" s="235"/>
      <c r="W212" s="235"/>
      <c r="X212" s="235"/>
      <c r="Y212" s="235"/>
      <c r="Z212" s="235"/>
      <c r="AA212" s="235"/>
    </row>
    <row r="213" spans="1:27" ht="10.5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61"/>
      <c r="L213" s="235"/>
      <c r="M213" s="235"/>
      <c r="N213" s="235"/>
      <c r="O213" s="235"/>
      <c r="P213" s="235"/>
      <c r="Q213" s="298"/>
      <c r="R213" s="234"/>
      <c r="S213" s="235"/>
      <c r="T213" s="235"/>
      <c r="U213" s="235"/>
      <c r="V213" s="235"/>
      <c r="W213" s="235"/>
      <c r="X213" s="235"/>
      <c r="Y213" s="235"/>
      <c r="Z213" s="235"/>
      <c r="AA213" s="235"/>
    </row>
    <row r="214" spans="1:27" ht="10.5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61"/>
      <c r="L214" s="235"/>
      <c r="M214" s="235"/>
      <c r="N214" s="235"/>
      <c r="O214" s="235"/>
      <c r="P214" s="235"/>
      <c r="Q214" s="298"/>
      <c r="R214" s="234"/>
      <c r="S214" s="235"/>
      <c r="T214" s="235"/>
      <c r="U214" s="235"/>
      <c r="V214" s="235"/>
      <c r="W214" s="235"/>
      <c r="X214" s="235"/>
      <c r="Y214" s="235"/>
      <c r="Z214" s="235"/>
      <c r="AA214" s="235"/>
    </row>
    <row r="215" spans="1:27" ht="10.5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61"/>
      <c r="L215" s="235"/>
      <c r="M215" s="235"/>
      <c r="N215" s="235"/>
      <c r="O215" s="235"/>
      <c r="P215" s="235"/>
      <c r="Q215" s="298"/>
      <c r="R215" s="234"/>
      <c r="S215" s="235"/>
      <c r="T215" s="235"/>
      <c r="U215" s="235"/>
      <c r="V215" s="235"/>
      <c r="W215" s="235"/>
      <c r="X215" s="235"/>
      <c r="Y215" s="235"/>
      <c r="Z215" s="235"/>
      <c r="AA215" s="235"/>
    </row>
    <row r="216" spans="1:27" ht="10.5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61"/>
      <c r="L216" s="235"/>
      <c r="M216" s="235"/>
      <c r="N216" s="235"/>
      <c r="O216" s="235"/>
      <c r="P216" s="235"/>
      <c r="Q216" s="298"/>
      <c r="R216" s="234"/>
      <c r="S216" s="235"/>
      <c r="T216" s="235"/>
      <c r="U216" s="235"/>
      <c r="V216" s="235"/>
      <c r="W216" s="235"/>
      <c r="X216" s="235"/>
      <c r="Y216" s="235"/>
      <c r="Z216" s="235"/>
      <c r="AA216" s="235"/>
    </row>
    <row r="217" spans="1:27" ht="10.5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61"/>
      <c r="L217" s="235"/>
      <c r="M217" s="235"/>
      <c r="N217" s="235"/>
      <c r="O217" s="235"/>
      <c r="P217" s="235"/>
      <c r="Q217" s="298"/>
      <c r="R217" s="234"/>
      <c r="S217" s="235"/>
      <c r="T217" s="235"/>
      <c r="U217" s="235"/>
      <c r="V217" s="235"/>
      <c r="W217" s="235"/>
      <c r="X217" s="235"/>
      <c r="Y217" s="235"/>
      <c r="Z217" s="235"/>
      <c r="AA217" s="235"/>
    </row>
    <row r="218" spans="1:27" ht="10.5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61"/>
      <c r="L218" s="235"/>
      <c r="M218" s="235"/>
      <c r="N218" s="235"/>
      <c r="O218" s="235"/>
      <c r="P218" s="235"/>
      <c r="Q218" s="298"/>
      <c r="R218" s="234"/>
      <c r="S218" s="235"/>
      <c r="T218" s="235"/>
      <c r="U218" s="235"/>
      <c r="V218" s="235"/>
      <c r="W218" s="235"/>
      <c r="X218" s="235"/>
      <c r="Y218" s="235"/>
      <c r="Z218" s="235"/>
      <c r="AA218" s="235"/>
    </row>
    <row r="219" spans="1:27" ht="10.5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61"/>
      <c r="L219" s="235"/>
      <c r="M219" s="235"/>
      <c r="N219" s="235"/>
      <c r="O219" s="235"/>
      <c r="P219" s="235"/>
      <c r="Q219" s="298"/>
      <c r="R219" s="234"/>
      <c r="S219" s="235"/>
      <c r="T219" s="235"/>
      <c r="U219" s="235"/>
      <c r="V219" s="235"/>
      <c r="W219" s="235"/>
      <c r="X219" s="235"/>
      <c r="Y219" s="235"/>
      <c r="Z219" s="235"/>
      <c r="AA219" s="235"/>
    </row>
    <row r="220" spans="1:27" ht="10.5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61"/>
      <c r="L220" s="235"/>
      <c r="M220" s="235"/>
      <c r="N220" s="235"/>
      <c r="O220" s="235"/>
      <c r="P220" s="235"/>
      <c r="Q220" s="298"/>
      <c r="R220" s="234"/>
      <c r="S220" s="235"/>
      <c r="T220" s="235"/>
      <c r="U220" s="235"/>
      <c r="V220" s="235"/>
      <c r="W220" s="235"/>
      <c r="X220" s="235"/>
      <c r="Y220" s="235"/>
      <c r="Z220" s="235"/>
      <c r="AA220" s="235"/>
    </row>
    <row r="221" spans="1:27" ht="10.5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61"/>
      <c r="L221" s="235"/>
      <c r="M221" s="235"/>
      <c r="N221" s="235"/>
      <c r="O221" s="235"/>
      <c r="P221" s="235"/>
      <c r="Q221" s="298"/>
      <c r="R221" s="234"/>
      <c r="S221" s="235"/>
      <c r="T221" s="235"/>
      <c r="U221" s="235"/>
      <c r="V221" s="235"/>
      <c r="W221" s="235"/>
      <c r="X221" s="235"/>
      <c r="Y221" s="235"/>
      <c r="Z221" s="235"/>
      <c r="AA221" s="235"/>
    </row>
    <row r="222" spans="1:27" ht="10.5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61"/>
      <c r="L222" s="235"/>
      <c r="M222" s="235"/>
      <c r="N222" s="235"/>
      <c r="O222" s="235"/>
      <c r="P222" s="235"/>
      <c r="Q222" s="298"/>
      <c r="R222" s="234"/>
      <c r="S222" s="235"/>
      <c r="T222" s="235"/>
      <c r="U222" s="235"/>
      <c r="V222" s="235"/>
      <c r="W222" s="235"/>
      <c r="X222" s="235"/>
      <c r="Y222" s="235"/>
      <c r="Z222" s="235"/>
      <c r="AA222" s="235"/>
    </row>
    <row r="223" spans="1:27" ht="10.5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61"/>
      <c r="L223" s="235"/>
      <c r="M223" s="235"/>
      <c r="N223" s="235"/>
      <c r="O223" s="235"/>
      <c r="P223" s="235"/>
      <c r="Q223" s="298"/>
      <c r="R223" s="234"/>
      <c r="S223" s="235"/>
      <c r="T223" s="235"/>
      <c r="U223" s="235"/>
      <c r="V223" s="235"/>
      <c r="W223" s="235"/>
      <c r="X223" s="235"/>
      <c r="Y223" s="235"/>
      <c r="Z223" s="235"/>
      <c r="AA223" s="235"/>
    </row>
    <row r="224" spans="1:27" ht="10.5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61"/>
      <c r="L224" s="235"/>
      <c r="M224" s="235"/>
      <c r="N224" s="235"/>
      <c r="O224" s="235"/>
      <c r="P224" s="235"/>
      <c r="Q224" s="298"/>
      <c r="R224" s="234"/>
      <c r="S224" s="235"/>
      <c r="T224" s="235"/>
      <c r="U224" s="235"/>
      <c r="V224" s="235"/>
      <c r="W224" s="235"/>
      <c r="X224" s="235"/>
      <c r="Y224" s="235"/>
      <c r="Z224" s="235"/>
      <c r="AA224" s="235"/>
    </row>
    <row r="225" spans="1:27" ht="10.5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61"/>
      <c r="L225" s="235"/>
      <c r="M225" s="235"/>
      <c r="N225" s="235"/>
      <c r="O225" s="235"/>
      <c r="P225" s="235"/>
      <c r="Q225" s="298"/>
      <c r="R225" s="234"/>
      <c r="S225" s="235"/>
      <c r="T225" s="235"/>
      <c r="U225" s="235"/>
      <c r="V225" s="235"/>
      <c r="W225" s="235"/>
      <c r="X225" s="235"/>
      <c r="Y225" s="235"/>
      <c r="Z225" s="235"/>
      <c r="AA225" s="235"/>
    </row>
    <row r="226" spans="1:27" ht="10.5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61"/>
      <c r="L226" s="235"/>
      <c r="M226" s="235"/>
      <c r="N226" s="235"/>
      <c r="O226" s="235"/>
      <c r="P226" s="235"/>
      <c r="Q226" s="298"/>
      <c r="R226" s="234"/>
      <c r="S226" s="235"/>
      <c r="T226" s="235"/>
      <c r="U226" s="235"/>
      <c r="V226" s="235"/>
      <c r="W226" s="235"/>
      <c r="X226" s="235"/>
      <c r="Y226" s="235"/>
      <c r="Z226" s="235"/>
      <c r="AA226" s="235"/>
    </row>
    <row r="227" spans="1:27" ht="10.5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61"/>
      <c r="L227" s="235"/>
      <c r="M227" s="235"/>
      <c r="N227" s="235"/>
      <c r="O227" s="235"/>
      <c r="P227" s="235"/>
      <c r="Q227" s="298"/>
      <c r="R227" s="234"/>
      <c r="S227" s="235"/>
      <c r="T227" s="235"/>
      <c r="U227" s="235"/>
      <c r="V227" s="235"/>
      <c r="W227" s="235"/>
      <c r="X227" s="235"/>
      <c r="Y227" s="235"/>
      <c r="Z227" s="235"/>
      <c r="AA227" s="235"/>
    </row>
    <row r="228" spans="1:27" ht="10.5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61"/>
      <c r="L228" s="235"/>
      <c r="M228" s="235"/>
      <c r="N228" s="235"/>
      <c r="O228" s="235"/>
      <c r="P228" s="235"/>
      <c r="Q228" s="298"/>
      <c r="R228" s="234"/>
      <c r="S228" s="235"/>
      <c r="T228" s="235"/>
      <c r="U228" s="235"/>
      <c r="V228" s="235"/>
      <c r="W228" s="235"/>
      <c r="X228" s="235"/>
      <c r="Y228" s="235"/>
      <c r="Z228" s="235"/>
      <c r="AA228" s="235"/>
    </row>
    <row r="229" spans="1:27" ht="10.5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61"/>
      <c r="L229" s="235"/>
      <c r="M229" s="235"/>
      <c r="N229" s="235"/>
      <c r="O229" s="235"/>
      <c r="P229" s="235"/>
      <c r="Q229" s="298"/>
      <c r="R229" s="234"/>
      <c r="S229" s="235"/>
      <c r="T229" s="235"/>
      <c r="U229" s="235"/>
      <c r="V229" s="235"/>
      <c r="W229" s="235"/>
      <c r="X229" s="235"/>
      <c r="Y229" s="235"/>
      <c r="Z229" s="235"/>
      <c r="AA229" s="235"/>
    </row>
    <row r="230" spans="1:27" ht="10.5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61"/>
      <c r="L230" s="235"/>
      <c r="M230" s="235"/>
      <c r="N230" s="235"/>
      <c r="O230" s="235"/>
      <c r="P230" s="235"/>
      <c r="Q230" s="298"/>
      <c r="R230" s="234"/>
      <c r="S230" s="235"/>
      <c r="T230" s="235"/>
      <c r="U230" s="235"/>
      <c r="V230" s="235"/>
      <c r="W230" s="235"/>
      <c r="X230" s="235"/>
      <c r="Y230" s="235"/>
      <c r="Z230" s="235"/>
      <c r="AA230" s="235"/>
    </row>
    <row r="231" spans="1:27" ht="10.5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61"/>
      <c r="L231" s="235"/>
      <c r="M231" s="235"/>
      <c r="N231" s="235"/>
      <c r="O231" s="235"/>
      <c r="P231" s="235"/>
      <c r="Q231" s="298"/>
      <c r="R231" s="234"/>
      <c r="S231" s="235"/>
      <c r="T231" s="235"/>
      <c r="U231" s="235"/>
      <c r="V231" s="235"/>
      <c r="W231" s="235"/>
      <c r="X231" s="235"/>
      <c r="Y231" s="235"/>
      <c r="Z231" s="235"/>
      <c r="AA231" s="235"/>
    </row>
    <row r="232" spans="1:27" ht="10.5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61"/>
      <c r="L232" s="235"/>
      <c r="M232" s="235"/>
      <c r="N232" s="235"/>
      <c r="O232" s="235"/>
      <c r="P232" s="235"/>
      <c r="Q232" s="298"/>
      <c r="R232" s="234"/>
      <c r="S232" s="235"/>
      <c r="T232" s="235"/>
      <c r="U232" s="235"/>
      <c r="V232" s="235"/>
      <c r="W232" s="235"/>
      <c r="X232" s="235"/>
      <c r="Y232" s="235"/>
      <c r="Z232" s="235"/>
      <c r="AA232" s="235"/>
    </row>
    <row r="233" spans="1:27" ht="10.5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61"/>
      <c r="L233" s="235"/>
      <c r="M233" s="235"/>
      <c r="N233" s="235"/>
      <c r="O233" s="235"/>
      <c r="P233" s="235"/>
      <c r="Q233" s="298"/>
      <c r="R233" s="234"/>
      <c r="S233" s="235"/>
      <c r="T233" s="235"/>
      <c r="U233" s="235"/>
      <c r="V233" s="235"/>
      <c r="W233" s="235"/>
      <c r="X233" s="235"/>
      <c r="Y233" s="235"/>
      <c r="Z233" s="235"/>
      <c r="AA233" s="235"/>
    </row>
    <row r="234" spans="1:27" ht="10.5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61"/>
      <c r="L234" s="235"/>
      <c r="M234" s="235"/>
      <c r="N234" s="235"/>
      <c r="O234" s="235"/>
      <c r="P234" s="235"/>
      <c r="Q234" s="298"/>
      <c r="R234" s="234"/>
      <c r="S234" s="235"/>
      <c r="T234" s="235"/>
      <c r="U234" s="235"/>
      <c r="V234" s="235"/>
      <c r="W234" s="235"/>
      <c r="X234" s="235"/>
      <c r="Y234" s="235"/>
      <c r="Z234" s="235"/>
      <c r="AA234" s="235"/>
    </row>
    <row r="235" spans="1:27" ht="10.5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61"/>
      <c r="L235" s="235"/>
      <c r="M235" s="235"/>
      <c r="N235" s="235"/>
      <c r="O235" s="235"/>
      <c r="P235" s="235"/>
      <c r="Q235" s="298"/>
      <c r="R235" s="234"/>
      <c r="S235" s="235"/>
      <c r="T235" s="235"/>
      <c r="U235" s="235"/>
      <c r="V235" s="235"/>
      <c r="W235" s="235"/>
      <c r="X235" s="235"/>
      <c r="Y235" s="235"/>
      <c r="Z235" s="235"/>
      <c r="AA235" s="235"/>
    </row>
    <row r="236" spans="1:27" ht="10.5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61"/>
      <c r="L236" s="235"/>
      <c r="M236" s="235"/>
      <c r="N236" s="235"/>
      <c r="O236" s="235"/>
      <c r="P236" s="235"/>
      <c r="Q236" s="298"/>
      <c r="R236" s="234"/>
      <c r="S236" s="235"/>
      <c r="T236" s="235"/>
      <c r="U236" s="235"/>
      <c r="V236" s="235"/>
      <c r="W236" s="235"/>
      <c r="X236" s="235"/>
      <c r="Y236" s="235"/>
      <c r="Z236" s="235"/>
      <c r="AA236" s="235"/>
    </row>
    <row r="237" spans="1:27" ht="10.5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61"/>
      <c r="L237" s="235"/>
      <c r="M237" s="235"/>
      <c r="N237" s="235"/>
      <c r="O237" s="235"/>
      <c r="P237" s="235"/>
      <c r="Q237" s="298"/>
      <c r="R237" s="234"/>
      <c r="S237" s="235"/>
      <c r="T237" s="235"/>
      <c r="U237" s="235"/>
      <c r="V237" s="235"/>
      <c r="W237" s="235"/>
      <c r="X237" s="235"/>
      <c r="Y237" s="235"/>
      <c r="Z237" s="235"/>
      <c r="AA237" s="235"/>
    </row>
    <row r="238" spans="1:27" ht="10.5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61"/>
      <c r="L238" s="235"/>
      <c r="M238" s="235"/>
      <c r="N238" s="235"/>
      <c r="O238" s="235"/>
      <c r="P238" s="235"/>
      <c r="Q238" s="298"/>
      <c r="R238" s="234"/>
      <c r="S238" s="235"/>
      <c r="T238" s="235"/>
      <c r="U238" s="235"/>
      <c r="V238" s="235"/>
      <c r="W238" s="235"/>
      <c r="X238" s="235"/>
      <c r="Y238" s="235"/>
      <c r="Z238" s="235"/>
      <c r="AA238" s="235"/>
    </row>
    <row r="239" spans="1:27" ht="10.5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61"/>
      <c r="L239" s="235"/>
      <c r="M239" s="235"/>
      <c r="N239" s="235"/>
      <c r="O239" s="235"/>
      <c r="P239" s="235"/>
      <c r="Q239" s="298"/>
      <c r="R239" s="234"/>
      <c r="S239" s="235"/>
      <c r="T239" s="235"/>
      <c r="U239" s="235"/>
      <c r="V239" s="235"/>
      <c r="W239" s="235"/>
      <c r="X239" s="235"/>
      <c r="Y239" s="235"/>
      <c r="Z239" s="235"/>
      <c r="AA239" s="235"/>
    </row>
    <row r="240" spans="1:27" ht="10.5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61"/>
      <c r="L240" s="235"/>
      <c r="M240" s="235"/>
      <c r="N240" s="235"/>
      <c r="O240" s="235"/>
      <c r="P240" s="235"/>
      <c r="Q240" s="298"/>
      <c r="R240" s="234"/>
      <c r="S240" s="235"/>
      <c r="T240" s="235"/>
      <c r="U240" s="235"/>
      <c r="V240" s="235"/>
      <c r="W240" s="235"/>
      <c r="X240" s="235"/>
      <c r="Y240" s="235"/>
      <c r="Z240" s="235"/>
      <c r="AA240" s="235"/>
    </row>
    <row r="241" spans="1:27" ht="10.5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61"/>
      <c r="L241" s="235"/>
      <c r="M241" s="235"/>
      <c r="N241" s="235"/>
      <c r="O241" s="235"/>
      <c r="P241" s="235"/>
      <c r="Q241" s="298"/>
      <c r="R241" s="234"/>
      <c r="S241" s="235"/>
      <c r="T241" s="235"/>
      <c r="U241" s="235"/>
      <c r="V241" s="235"/>
      <c r="W241" s="235"/>
      <c r="X241" s="235"/>
      <c r="Y241" s="235"/>
      <c r="Z241" s="235"/>
      <c r="AA241" s="235"/>
    </row>
    <row r="242" spans="1:27" ht="10.5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61"/>
      <c r="L242" s="235"/>
      <c r="M242" s="235"/>
      <c r="N242" s="235"/>
      <c r="O242" s="235"/>
      <c r="P242" s="235"/>
      <c r="Q242" s="298"/>
      <c r="R242" s="234"/>
      <c r="S242" s="235"/>
      <c r="T242" s="235"/>
      <c r="U242" s="235"/>
      <c r="V242" s="235"/>
      <c r="W242" s="235"/>
      <c r="X242" s="235"/>
      <c r="Y242" s="235"/>
      <c r="Z242" s="235"/>
      <c r="AA242" s="235"/>
    </row>
    <row r="243" spans="1:27" ht="10.5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61"/>
      <c r="L243" s="235"/>
      <c r="M243" s="235"/>
      <c r="N243" s="235"/>
      <c r="O243" s="235"/>
      <c r="P243" s="235"/>
      <c r="Q243" s="298"/>
      <c r="R243" s="234"/>
      <c r="S243" s="235"/>
      <c r="T243" s="235"/>
      <c r="U243" s="235"/>
      <c r="V243" s="235"/>
      <c r="W243" s="235"/>
      <c r="X243" s="235"/>
      <c r="Y243" s="235"/>
      <c r="Z243" s="235"/>
      <c r="AA243" s="235"/>
    </row>
    <row r="244" spans="1:27" ht="10.5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61"/>
      <c r="L244" s="235"/>
      <c r="M244" s="235"/>
      <c r="N244" s="235"/>
      <c r="O244" s="235"/>
      <c r="P244" s="235"/>
      <c r="Q244" s="298"/>
      <c r="R244" s="234"/>
      <c r="S244" s="235"/>
      <c r="T244" s="235"/>
      <c r="U244" s="235"/>
      <c r="V244" s="235"/>
      <c r="W244" s="235"/>
      <c r="X244" s="235"/>
      <c r="Y244" s="235"/>
      <c r="Z244" s="235"/>
      <c r="AA244" s="235"/>
    </row>
    <row r="245" spans="1:27" ht="10.5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61"/>
      <c r="L245" s="235"/>
      <c r="M245" s="235"/>
      <c r="N245" s="235"/>
      <c r="O245" s="235"/>
      <c r="P245" s="235"/>
      <c r="Q245" s="298"/>
      <c r="R245" s="234"/>
      <c r="S245" s="235"/>
      <c r="T245" s="235"/>
      <c r="U245" s="235"/>
      <c r="V245" s="235"/>
      <c r="W245" s="235"/>
      <c r="X245" s="235"/>
      <c r="Y245" s="235"/>
      <c r="Z245" s="235"/>
      <c r="AA245" s="235"/>
    </row>
    <row r="246" spans="1:27" ht="10.5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61"/>
      <c r="L246" s="235"/>
      <c r="M246" s="235"/>
      <c r="N246" s="235"/>
      <c r="O246" s="235"/>
      <c r="P246" s="235"/>
      <c r="Q246" s="298"/>
      <c r="R246" s="234"/>
      <c r="S246" s="235"/>
      <c r="T246" s="235"/>
      <c r="U246" s="235"/>
      <c r="V246" s="235"/>
      <c r="W246" s="235"/>
      <c r="X246" s="235"/>
      <c r="Y246" s="235"/>
      <c r="Z246" s="235"/>
      <c r="AA246" s="235"/>
    </row>
    <row r="247" spans="1:27" ht="10.5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61"/>
      <c r="L247" s="235"/>
      <c r="M247" s="235"/>
      <c r="N247" s="235"/>
      <c r="O247" s="235"/>
      <c r="P247" s="235"/>
      <c r="Q247" s="298"/>
      <c r="R247" s="234"/>
      <c r="S247" s="235"/>
      <c r="T247" s="235"/>
      <c r="U247" s="235"/>
      <c r="V247" s="235"/>
      <c r="W247" s="235"/>
      <c r="X247" s="235"/>
      <c r="Y247" s="235"/>
      <c r="Z247" s="235"/>
      <c r="AA247" s="235"/>
    </row>
    <row r="248" spans="1:27" ht="10.5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61"/>
      <c r="L248" s="235"/>
      <c r="M248" s="235"/>
      <c r="N248" s="235"/>
      <c r="O248" s="235"/>
      <c r="P248" s="235"/>
      <c r="Q248" s="298"/>
      <c r="R248" s="234"/>
      <c r="S248" s="235"/>
      <c r="T248" s="235"/>
      <c r="U248" s="235"/>
      <c r="V248" s="235"/>
      <c r="W248" s="235"/>
      <c r="X248" s="235"/>
      <c r="Y248" s="235"/>
      <c r="Z248" s="235"/>
      <c r="AA248" s="235"/>
    </row>
    <row r="249" spans="1:27" ht="10.5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61"/>
      <c r="L249" s="235"/>
      <c r="M249" s="235"/>
      <c r="N249" s="235"/>
      <c r="O249" s="235"/>
      <c r="P249" s="235"/>
      <c r="Q249" s="298"/>
      <c r="R249" s="234"/>
      <c r="S249" s="235"/>
      <c r="T249" s="235"/>
      <c r="U249" s="235"/>
      <c r="V249" s="235"/>
      <c r="W249" s="235"/>
      <c r="X249" s="235"/>
      <c r="Y249" s="235"/>
      <c r="Z249" s="235"/>
      <c r="AA249" s="235"/>
    </row>
    <row r="250" spans="1:27" ht="10.5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61"/>
      <c r="L250" s="235"/>
      <c r="M250" s="235"/>
      <c r="N250" s="235"/>
      <c r="O250" s="235"/>
      <c r="P250" s="235"/>
      <c r="Q250" s="298"/>
      <c r="R250" s="234"/>
      <c r="S250" s="235"/>
      <c r="T250" s="235"/>
      <c r="U250" s="235"/>
      <c r="V250" s="235"/>
      <c r="W250" s="235"/>
      <c r="X250" s="235"/>
      <c r="Y250" s="235"/>
      <c r="Z250" s="235"/>
      <c r="AA250" s="235"/>
    </row>
    <row r="251" spans="1:27" ht="10.5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61"/>
      <c r="L251" s="235"/>
      <c r="M251" s="235"/>
      <c r="N251" s="235"/>
      <c r="O251" s="235"/>
      <c r="P251" s="235"/>
      <c r="Q251" s="298"/>
      <c r="R251" s="234"/>
      <c r="S251" s="235"/>
      <c r="T251" s="235"/>
      <c r="U251" s="235"/>
      <c r="V251" s="235"/>
      <c r="W251" s="235"/>
      <c r="X251" s="235"/>
      <c r="Y251" s="235"/>
      <c r="Z251" s="235"/>
      <c r="AA251" s="235"/>
    </row>
    <row r="252" spans="1:27" ht="10.5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61"/>
      <c r="L252" s="235"/>
      <c r="M252" s="235"/>
      <c r="N252" s="235"/>
      <c r="O252" s="235"/>
      <c r="P252" s="235"/>
      <c r="Q252" s="298"/>
      <c r="R252" s="234"/>
      <c r="S252" s="235"/>
      <c r="T252" s="235"/>
      <c r="U252" s="235"/>
      <c r="V252" s="235"/>
      <c r="W252" s="235"/>
      <c r="X252" s="235"/>
      <c r="Y252" s="235"/>
      <c r="Z252" s="235"/>
      <c r="AA252" s="235"/>
    </row>
    <row r="253" spans="1:27" ht="10.5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61"/>
      <c r="L253" s="235"/>
      <c r="M253" s="235"/>
      <c r="N253" s="235"/>
      <c r="O253" s="235"/>
      <c r="P253" s="235"/>
      <c r="Q253" s="298"/>
      <c r="R253" s="234"/>
      <c r="S253" s="235"/>
      <c r="T253" s="235"/>
      <c r="U253" s="235"/>
      <c r="V253" s="235"/>
      <c r="W253" s="235"/>
      <c r="X253" s="235"/>
      <c r="Y253" s="235"/>
      <c r="Z253" s="235"/>
      <c r="AA253" s="235"/>
    </row>
    <row r="254" spans="1:27" ht="10.5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61"/>
      <c r="L254" s="235"/>
      <c r="M254" s="235"/>
      <c r="N254" s="235"/>
      <c r="O254" s="235"/>
      <c r="P254" s="235"/>
      <c r="Q254" s="298"/>
      <c r="R254" s="234"/>
      <c r="S254" s="235"/>
      <c r="T254" s="235"/>
      <c r="U254" s="235"/>
      <c r="V254" s="235"/>
      <c r="W254" s="235"/>
      <c r="X254" s="235"/>
      <c r="Y254" s="235"/>
      <c r="Z254" s="235"/>
      <c r="AA254" s="235"/>
    </row>
    <row r="255" spans="1:27" ht="10.5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61"/>
      <c r="L255" s="235"/>
      <c r="M255" s="235"/>
      <c r="N255" s="235"/>
      <c r="O255" s="235"/>
      <c r="P255" s="235"/>
      <c r="Q255" s="298"/>
      <c r="R255" s="234"/>
      <c r="S255" s="235"/>
      <c r="T255" s="235"/>
      <c r="U255" s="235"/>
      <c r="V255" s="235"/>
      <c r="W255" s="235"/>
      <c r="X255" s="235"/>
      <c r="Y255" s="235"/>
      <c r="Z255" s="235"/>
      <c r="AA255" s="235"/>
    </row>
    <row r="256" spans="1:27" ht="10.5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61"/>
      <c r="L256" s="235"/>
      <c r="M256" s="235"/>
      <c r="N256" s="235"/>
      <c r="O256" s="235"/>
      <c r="P256" s="235"/>
      <c r="Q256" s="298"/>
      <c r="R256" s="234"/>
      <c r="S256" s="235"/>
      <c r="T256" s="235"/>
      <c r="U256" s="235"/>
      <c r="V256" s="235"/>
      <c r="W256" s="235"/>
      <c r="X256" s="235"/>
      <c r="Y256" s="235"/>
      <c r="Z256" s="235"/>
      <c r="AA256" s="235"/>
    </row>
    <row r="257" spans="1:27" ht="10.5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61"/>
      <c r="L257" s="235"/>
      <c r="M257" s="235"/>
      <c r="N257" s="235"/>
      <c r="O257" s="235"/>
      <c r="P257" s="235"/>
      <c r="Q257" s="298"/>
      <c r="R257" s="234"/>
      <c r="S257" s="235"/>
      <c r="T257" s="235"/>
      <c r="U257" s="235"/>
      <c r="V257" s="235"/>
      <c r="W257" s="235"/>
      <c r="X257" s="235"/>
      <c r="Y257" s="235"/>
      <c r="Z257" s="235"/>
      <c r="AA257" s="235"/>
    </row>
    <row r="258" spans="1:27" ht="10.5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61"/>
      <c r="L258" s="235"/>
      <c r="M258" s="235"/>
      <c r="N258" s="235"/>
      <c r="O258" s="235"/>
      <c r="P258" s="235"/>
      <c r="Q258" s="298"/>
      <c r="R258" s="234"/>
      <c r="S258" s="235"/>
      <c r="T258" s="235"/>
      <c r="U258" s="235"/>
      <c r="V258" s="235"/>
      <c r="W258" s="235"/>
      <c r="X258" s="235"/>
      <c r="Y258" s="235"/>
      <c r="Z258" s="235"/>
      <c r="AA258" s="235"/>
    </row>
    <row r="259" spans="1:27" ht="10.5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61"/>
      <c r="L259" s="235"/>
      <c r="M259" s="235"/>
      <c r="N259" s="235"/>
      <c r="O259" s="235"/>
      <c r="P259" s="235"/>
      <c r="Q259" s="298"/>
      <c r="R259" s="234"/>
      <c r="S259" s="235"/>
      <c r="T259" s="235"/>
      <c r="U259" s="235"/>
      <c r="V259" s="235"/>
      <c r="W259" s="235"/>
      <c r="X259" s="235"/>
      <c r="Y259" s="235"/>
      <c r="Z259" s="235"/>
      <c r="AA259" s="235"/>
    </row>
    <row r="260" spans="1:27" ht="10.5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61"/>
      <c r="L260" s="235"/>
      <c r="M260" s="235"/>
      <c r="N260" s="235"/>
      <c r="O260" s="235"/>
      <c r="P260" s="235"/>
      <c r="Q260" s="298"/>
      <c r="R260" s="234"/>
      <c r="S260" s="235"/>
      <c r="T260" s="235"/>
      <c r="U260" s="235"/>
      <c r="V260" s="235"/>
      <c r="W260" s="235"/>
      <c r="X260" s="235"/>
      <c r="Y260" s="235"/>
      <c r="Z260" s="235"/>
      <c r="AA260" s="235"/>
    </row>
    <row r="261" spans="1:27" ht="10.5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61"/>
      <c r="L261" s="235"/>
      <c r="M261" s="235"/>
      <c r="N261" s="235"/>
      <c r="O261" s="235"/>
      <c r="P261" s="235"/>
      <c r="Q261" s="298"/>
      <c r="R261" s="234"/>
      <c r="S261" s="235"/>
      <c r="T261" s="235"/>
      <c r="U261" s="235"/>
      <c r="V261" s="235"/>
      <c r="W261" s="235"/>
      <c r="X261" s="235"/>
      <c r="Y261" s="235"/>
      <c r="Z261" s="235"/>
      <c r="AA261" s="235"/>
    </row>
    <row r="262" spans="1:27" ht="10.5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61"/>
      <c r="L262" s="235"/>
      <c r="M262" s="235"/>
      <c r="N262" s="235"/>
      <c r="O262" s="235"/>
      <c r="P262" s="235"/>
      <c r="Q262" s="298"/>
      <c r="R262" s="234"/>
      <c r="S262" s="235"/>
      <c r="T262" s="235"/>
      <c r="U262" s="235"/>
      <c r="V262" s="235"/>
      <c r="W262" s="235"/>
      <c r="X262" s="235"/>
      <c r="Y262" s="235"/>
      <c r="Z262" s="235"/>
      <c r="AA262" s="235"/>
    </row>
    <row r="263" spans="1:27" ht="10.5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61"/>
      <c r="L263" s="235"/>
      <c r="M263" s="235"/>
      <c r="N263" s="235"/>
      <c r="O263" s="235"/>
      <c r="P263" s="235"/>
      <c r="Q263" s="298"/>
      <c r="R263" s="234"/>
      <c r="S263" s="235"/>
      <c r="T263" s="235"/>
      <c r="U263" s="235"/>
      <c r="V263" s="235"/>
      <c r="W263" s="235"/>
      <c r="X263" s="235"/>
      <c r="Y263" s="235"/>
      <c r="Z263" s="235"/>
      <c r="AA263" s="235"/>
    </row>
    <row r="264" spans="1:27" ht="10.5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61"/>
      <c r="L264" s="235"/>
      <c r="M264" s="235"/>
      <c r="N264" s="235"/>
      <c r="O264" s="235"/>
      <c r="P264" s="235"/>
      <c r="Q264" s="298"/>
      <c r="R264" s="234"/>
      <c r="S264" s="235"/>
      <c r="T264" s="235"/>
      <c r="U264" s="235"/>
      <c r="V264" s="235"/>
      <c r="W264" s="235"/>
      <c r="X264" s="235"/>
      <c r="Y264" s="235"/>
      <c r="Z264" s="235"/>
      <c r="AA264" s="235"/>
    </row>
    <row r="265" spans="1:27" ht="10.5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61"/>
      <c r="L265" s="235"/>
      <c r="M265" s="235"/>
      <c r="N265" s="235"/>
      <c r="O265" s="235"/>
      <c r="P265" s="235"/>
      <c r="Q265" s="298"/>
      <c r="R265" s="234"/>
      <c r="S265" s="235"/>
      <c r="T265" s="235"/>
      <c r="U265" s="235"/>
      <c r="V265" s="235"/>
      <c r="W265" s="235"/>
      <c r="X265" s="235"/>
      <c r="Y265" s="235"/>
      <c r="Z265" s="235"/>
      <c r="AA265" s="235"/>
    </row>
    <row r="266" spans="1:27" ht="10.5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61"/>
      <c r="L266" s="235"/>
      <c r="M266" s="235"/>
      <c r="N266" s="235"/>
      <c r="O266" s="235"/>
      <c r="P266" s="235"/>
      <c r="Q266" s="298"/>
      <c r="R266" s="234"/>
      <c r="S266" s="235"/>
      <c r="T266" s="235"/>
      <c r="U266" s="235"/>
      <c r="V266" s="235"/>
      <c r="W266" s="235"/>
      <c r="X266" s="235"/>
      <c r="Y266" s="235"/>
      <c r="Z266" s="235"/>
      <c r="AA266" s="235"/>
    </row>
    <row r="267" spans="1:27" ht="10.5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61"/>
      <c r="L267" s="235"/>
      <c r="M267" s="235"/>
      <c r="N267" s="235"/>
      <c r="O267" s="235"/>
      <c r="P267" s="235"/>
      <c r="Q267" s="298"/>
      <c r="R267" s="234"/>
      <c r="S267" s="235"/>
      <c r="T267" s="235"/>
      <c r="U267" s="235"/>
      <c r="V267" s="235"/>
      <c r="W267" s="235"/>
      <c r="X267" s="235"/>
      <c r="Y267" s="235"/>
      <c r="Z267" s="235"/>
      <c r="AA267" s="235"/>
    </row>
    <row r="268" spans="1:27" ht="10.5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61"/>
      <c r="L268" s="235"/>
      <c r="M268" s="235"/>
      <c r="N268" s="235"/>
      <c r="O268" s="235"/>
      <c r="P268" s="235"/>
      <c r="Q268" s="298"/>
      <c r="R268" s="234"/>
      <c r="S268" s="235"/>
      <c r="T268" s="235"/>
      <c r="U268" s="235"/>
      <c r="V268" s="235"/>
      <c r="W268" s="235"/>
      <c r="X268" s="235"/>
      <c r="Y268" s="235"/>
      <c r="Z268" s="235"/>
      <c r="AA268" s="235"/>
    </row>
    <row r="269" spans="1:27" ht="10.5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61"/>
      <c r="L269" s="235"/>
      <c r="M269" s="235"/>
      <c r="N269" s="235"/>
      <c r="O269" s="235"/>
      <c r="P269" s="235"/>
      <c r="Q269" s="298"/>
      <c r="R269" s="234"/>
      <c r="S269" s="235"/>
      <c r="T269" s="235"/>
      <c r="U269" s="235"/>
      <c r="V269" s="235"/>
      <c r="W269" s="235"/>
      <c r="X269" s="235"/>
      <c r="Y269" s="235"/>
      <c r="Z269" s="235"/>
      <c r="AA269" s="235"/>
    </row>
    <row r="270" spans="1:27" ht="10.5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61"/>
      <c r="L270" s="235"/>
      <c r="M270" s="235"/>
      <c r="N270" s="235"/>
      <c r="O270" s="235"/>
      <c r="P270" s="235"/>
      <c r="Q270" s="298"/>
      <c r="R270" s="234"/>
      <c r="S270" s="235"/>
      <c r="T270" s="235"/>
      <c r="U270" s="235"/>
      <c r="V270" s="235"/>
      <c r="W270" s="235"/>
      <c r="X270" s="235"/>
      <c r="Y270" s="235"/>
      <c r="Z270" s="235"/>
      <c r="AA270" s="235"/>
    </row>
    <row r="271" spans="1:27" ht="10.5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61"/>
      <c r="L271" s="235"/>
      <c r="M271" s="235"/>
      <c r="N271" s="235"/>
      <c r="O271" s="235"/>
      <c r="P271" s="235"/>
      <c r="Q271" s="298"/>
      <c r="R271" s="234"/>
      <c r="S271" s="235"/>
      <c r="T271" s="235"/>
      <c r="U271" s="235"/>
      <c r="V271" s="235"/>
      <c r="W271" s="235"/>
      <c r="X271" s="235"/>
      <c r="Y271" s="235"/>
      <c r="Z271" s="235"/>
      <c r="AA271" s="235"/>
    </row>
    <row r="272" spans="1:27" ht="10.5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61"/>
      <c r="L272" s="235"/>
      <c r="M272" s="235"/>
      <c r="N272" s="235"/>
      <c r="O272" s="235"/>
      <c r="P272" s="235"/>
      <c r="Q272" s="298"/>
      <c r="R272" s="234"/>
      <c r="S272" s="235"/>
      <c r="T272" s="235"/>
      <c r="U272" s="235"/>
      <c r="V272" s="235"/>
      <c r="W272" s="235"/>
      <c r="X272" s="235"/>
      <c r="Y272" s="235"/>
      <c r="Z272" s="235"/>
      <c r="AA272" s="235"/>
    </row>
    <row r="273" spans="1:27" ht="10.5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61"/>
      <c r="L273" s="235"/>
      <c r="M273" s="235"/>
      <c r="N273" s="235"/>
      <c r="O273" s="235"/>
      <c r="P273" s="235"/>
      <c r="Q273" s="298"/>
      <c r="R273" s="234"/>
      <c r="S273" s="235"/>
      <c r="T273" s="235"/>
      <c r="U273" s="235"/>
      <c r="V273" s="235"/>
      <c r="W273" s="235"/>
      <c r="X273" s="235"/>
      <c r="Y273" s="235"/>
      <c r="Z273" s="235"/>
      <c r="AA273" s="235"/>
    </row>
    <row r="274" spans="1:27" ht="10.5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61"/>
      <c r="L274" s="235"/>
      <c r="M274" s="235"/>
      <c r="N274" s="235"/>
      <c r="O274" s="235"/>
      <c r="P274" s="235"/>
      <c r="Q274" s="298"/>
      <c r="R274" s="234"/>
      <c r="S274" s="235"/>
      <c r="T274" s="235"/>
      <c r="U274" s="235"/>
      <c r="V274" s="235"/>
      <c r="W274" s="235"/>
      <c r="X274" s="235"/>
      <c r="Y274" s="235"/>
      <c r="Z274" s="235"/>
      <c r="AA274" s="235"/>
    </row>
    <row r="275" spans="1:27" ht="10.5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61"/>
      <c r="L275" s="235"/>
      <c r="M275" s="235"/>
      <c r="N275" s="235"/>
      <c r="O275" s="235"/>
      <c r="P275" s="235"/>
      <c r="Q275" s="298"/>
      <c r="R275" s="234"/>
      <c r="S275" s="235"/>
      <c r="T275" s="235"/>
      <c r="U275" s="235"/>
      <c r="V275" s="235"/>
      <c r="W275" s="235"/>
      <c r="X275" s="235"/>
      <c r="Y275" s="235"/>
      <c r="Z275" s="235"/>
      <c r="AA275" s="235"/>
    </row>
    <row r="276" spans="1:27" ht="10.5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61"/>
      <c r="L276" s="235"/>
      <c r="M276" s="235"/>
      <c r="N276" s="235"/>
      <c r="O276" s="235"/>
      <c r="P276" s="235"/>
      <c r="Q276" s="298"/>
      <c r="R276" s="234"/>
      <c r="S276" s="235"/>
      <c r="T276" s="235"/>
      <c r="U276" s="235"/>
      <c r="V276" s="235"/>
      <c r="W276" s="235"/>
      <c r="X276" s="235"/>
      <c r="Y276" s="235"/>
      <c r="Z276" s="235"/>
      <c r="AA276" s="235"/>
    </row>
    <row r="277" spans="1:27" ht="10.5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61"/>
      <c r="L277" s="235"/>
      <c r="M277" s="235"/>
      <c r="N277" s="235"/>
      <c r="O277" s="235"/>
      <c r="P277" s="235"/>
      <c r="Q277" s="298"/>
      <c r="R277" s="234"/>
      <c r="S277" s="235"/>
      <c r="T277" s="235"/>
      <c r="U277" s="235"/>
      <c r="V277" s="235"/>
      <c r="W277" s="235"/>
      <c r="X277" s="235"/>
      <c r="Y277" s="235"/>
      <c r="Z277" s="235"/>
      <c r="AA277" s="235"/>
    </row>
    <row r="278" spans="1:27" ht="10.5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61"/>
      <c r="L278" s="235"/>
      <c r="M278" s="235"/>
      <c r="N278" s="235"/>
      <c r="O278" s="235"/>
      <c r="P278" s="235"/>
      <c r="Q278" s="298"/>
      <c r="R278" s="234"/>
      <c r="S278" s="235"/>
      <c r="T278" s="235"/>
      <c r="U278" s="235"/>
      <c r="V278" s="235"/>
      <c r="W278" s="235"/>
      <c r="X278" s="235"/>
      <c r="Y278" s="235"/>
      <c r="Z278" s="235"/>
      <c r="AA278" s="235"/>
    </row>
    <row r="279" spans="1:27" ht="10.5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61"/>
      <c r="L279" s="235"/>
      <c r="M279" s="235"/>
      <c r="N279" s="235"/>
      <c r="O279" s="235"/>
      <c r="P279" s="235"/>
      <c r="Q279" s="298"/>
      <c r="R279" s="234"/>
      <c r="S279" s="235"/>
      <c r="T279" s="235"/>
      <c r="U279" s="235"/>
      <c r="V279" s="235"/>
      <c r="W279" s="235"/>
      <c r="X279" s="235"/>
      <c r="Y279" s="235"/>
      <c r="Z279" s="235"/>
      <c r="AA279" s="235"/>
    </row>
    <row r="280" spans="1:27" ht="10.5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61"/>
      <c r="L280" s="235"/>
      <c r="M280" s="235"/>
      <c r="N280" s="235"/>
      <c r="O280" s="235"/>
      <c r="P280" s="235"/>
      <c r="Q280" s="298"/>
      <c r="R280" s="234"/>
      <c r="S280" s="235"/>
      <c r="T280" s="235"/>
      <c r="U280" s="235"/>
      <c r="V280" s="235"/>
      <c r="W280" s="235"/>
      <c r="X280" s="235"/>
      <c r="Y280" s="235"/>
      <c r="Z280" s="235"/>
      <c r="AA280" s="235"/>
    </row>
    <row r="281" spans="1:27" ht="10.5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61"/>
      <c r="L281" s="235"/>
      <c r="M281" s="235"/>
      <c r="N281" s="235"/>
      <c r="O281" s="235"/>
      <c r="P281" s="235"/>
      <c r="Q281" s="298"/>
      <c r="R281" s="234"/>
      <c r="S281" s="235"/>
      <c r="T281" s="235"/>
      <c r="U281" s="235"/>
      <c r="V281" s="235"/>
      <c r="W281" s="235"/>
      <c r="X281" s="235"/>
      <c r="Y281" s="235"/>
      <c r="Z281" s="235"/>
      <c r="AA281" s="235"/>
    </row>
    <row r="282" spans="1:27" ht="10.5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61"/>
      <c r="L282" s="235"/>
      <c r="M282" s="235"/>
      <c r="N282" s="235"/>
      <c r="O282" s="235"/>
      <c r="P282" s="235"/>
      <c r="Q282" s="298"/>
      <c r="R282" s="234"/>
      <c r="S282" s="235"/>
      <c r="T282" s="235"/>
      <c r="U282" s="235"/>
      <c r="V282" s="235"/>
      <c r="W282" s="235"/>
      <c r="X282" s="235"/>
      <c r="Y282" s="235"/>
      <c r="Z282" s="235"/>
      <c r="AA282" s="235"/>
    </row>
    <row r="283" spans="1:27" ht="10.5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61"/>
      <c r="L283" s="235"/>
      <c r="M283" s="235"/>
      <c r="N283" s="235"/>
      <c r="O283" s="235"/>
      <c r="P283" s="235"/>
      <c r="Q283" s="298"/>
      <c r="R283" s="234"/>
      <c r="S283" s="235"/>
      <c r="T283" s="235"/>
      <c r="U283" s="235"/>
      <c r="V283" s="235"/>
      <c r="W283" s="235"/>
      <c r="X283" s="235"/>
      <c r="Y283" s="235"/>
      <c r="Z283" s="235"/>
      <c r="AA283" s="235"/>
    </row>
    <row r="284" spans="1:27" ht="10.5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61"/>
      <c r="L284" s="235"/>
      <c r="M284" s="235"/>
      <c r="N284" s="235"/>
      <c r="O284" s="235"/>
      <c r="P284" s="235"/>
      <c r="Q284" s="298"/>
      <c r="R284" s="234"/>
      <c r="S284" s="235"/>
      <c r="T284" s="235"/>
      <c r="U284" s="235"/>
      <c r="V284" s="235"/>
      <c r="W284" s="235"/>
      <c r="X284" s="235"/>
      <c r="Y284" s="235"/>
      <c r="Z284" s="235"/>
      <c r="AA284" s="235"/>
    </row>
    <row r="285" spans="1:27" ht="10.5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61"/>
      <c r="L285" s="235"/>
      <c r="M285" s="235"/>
      <c r="N285" s="235"/>
      <c r="O285" s="235"/>
      <c r="P285" s="235"/>
      <c r="Q285" s="298"/>
      <c r="R285" s="234"/>
      <c r="S285" s="235"/>
      <c r="T285" s="235"/>
      <c r="U285" s="235"/>
      <c r="V285" s="235"/>
      <c r="W285" s="235"/>
      <c r="X285" s="235"/>
      <c r="Y285" s="235"/>
      <c r="Z285" s="235"/>
      <c r="AA285" s="235"/>
    </row>
    <row r="286" spans="1:27" ht="10.5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61"/>
      <c r="L286" s="235"/>
      <c r="M286" s="235"/>
      <c r="N286" s="235"/>
      <c r="O286" s="235"/>
      <c r="P286" s="235"/>
      <c r="Q286" s="298"/>
      <c r="R286" s="234"/>
      <c r="S286" s="235"/>
      <c r="T286" s="235"/>
      <c r="U286" s="235"/>
      <c r="V286" s="235"/>
      <c r="W286" s="235"/>
      <c r="X286" s="235"/>
      <c r="Y286" s="235"/>
      <c r="Z286" s="235"/>
      <c r="AA286" s="235"/>
    </row>
    <row r="287" spans="1:27" ht="10.5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61"/>
      <c r="L287" s="235"/>
      <c r="M287" s="235"/>
      <c r="N287" s="235"/>
      <c r="O287" s="235"/>
      <c r="P287" s="235"/>
      <c r="Q287" s="298"/>
      <c r="R287" s="234"/>
      <c r="S287" s="235"/>
      <c r="T287" s="235"/>
      <c r="U287" s="235"/>
      <c r="V287" s="235"/>
      <c r="W287" s="235"/>
      <c r="X287" s="235"/>
      <c r="Y287" s="235"/>
      <c r="Z287" s="235"/>
      <c r="AA287" s="235"/>
    </row>
    <row r="288" spans="1:27" ht="10.5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61"/>
      <c r="L288" s="235"/>
      <c r="M288" s="235"/>
      <c r="N288" s="235"/>
      <c r="O288" s="235"/>
      <c r="P288" s="235"/>
      <c r="Q288" s="298"/>
      <c r="R288" s="234"/>
      <c r="S288" s="235"/>
      <c r="T288" s="235"/>
      <c r="U288" s="235"/>
      <c r="V288" s="235"/>
      <c r="W288" s="235"/>
      <c r="X288" s="235"/>
      <c r="Y288" s="235"/>
      <c r="Z288" s="235"/>
      <c r="AA288" s="235"/>
    </row>
    <row r="289" spans="1:27" ht="10.5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61"/>
      <c r="L289" s="235"/>
      <c r="M289" s="235"/>
      <c r="N289" s="235"/>
      <c r="O289" s="235"/>
      <c r="P289" s="235"/>
      <c r="Q289" s="298"/>
      <c r="R289" s="234"/>
      <c r="S289" s="235"/>
      <c r="T289" s="235"/>
      <c r="U289" s="235"/>
      <c r="V289" s="235"/>
      <c r="W289" s="235"/>
      <c r="X289" s="235"/>
      <c r="Y289" s="235"/>
      <c r="Z289" s="235"/>
      <c r="AA289" s="235"/>
    </row>
    <row r="290" spans="1:27" ht="10.5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61"/>
      <c r="L290" s="235"/>
      <c r="M290" s="235"/>
      <c r="N290" s="235"/>
      <c r="O290" s="235"/>
      <c r="P290" s="235"/>
      <c r="Q290" s="298"/>
      <c r="R290" s="234"/>
      <c r="S290" s="235"/>
      <c r="T290" s="235"/>
      <c r="U290" s="235"/>
      <c r="V290" s="235"/>
      <c r="W290" s="235"/>
      <c r="X290" s="235"/>
      <c r="Y290" s="235"/>
      <c r="Z290" s="235"/>
      <c r="AA290" s="235"/>
    </row>
    <row r="291" spans="1:27" ht="10.5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61"/>
      <c r="L291" s="235"/>
      <c r="M291" s="235"/>
      <c r="N291" s="235"/>
      <c r="O291" s="235"/>
      <c r="P291" s="235"/>
      <c r="Q291" s="298"/>
      <c r="R291" s="234"/>
      <c r="S291" s="235"/>
      <c r="T291" s="235"/>
      <c r="U291" s="235"/>
      <c r="V291" s="235"/>
      <c r="W291" s="235"/>
      <c r="X291" s="235"/>
      <c r="Y291" s="235"/>
      <c r="Z291" s="235"/>
      <c r="AA291" s="235"/>
    </row>
    <row r="292" spans="1:27" ht="10.5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61"/>
      <c r="L292" s="235"/>
      <c r="M292" s="235"/>
      <c r="N292" s="235"/>
      <c r="O292" s="235"/>
      <c r="P292" s="235"/>
      <c r="Q292" s="298"/>
      <c r="R292" s="234"/>
      <c r="S292" s="235"/>
      <c r="T292" s="235"/>
      <c r="U292" s="235"/>
      <c r="V292" s="235"/>
      <c r="W292" s="235"/>
      <c r="X292" s="235"/>
      <c r="Y292" s="235"/>
      <c r="Z292" s="235"/>
      <c r="AA292" s="235"/>
    </row>
    <row r="293" spans="1:27" ht="10.5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61"/>
      <c r="L293" s="235"/>
      <c r="M293" s="235"/>
      <c r="N293" s="235"/>
      <c r="O293" s="235"/>
      <c r="P293" s="235"/>
      <c r="Q293" s="298"/>
      <c r="R293" s="234"/>
      <c r="S293" s="235"/>
      <c r="T293" s="235"/>
      <c r="U293" s="235"/>
      <c r="V293" s="235"/>
      <c r="W293" s="235"/>
      <c r="X293" s="235"/>
      <c r="Y293" s="235"/>
      <c r="Z293" s="235"/>
      <c r="AA293" s="235"/>
    </row>
    <row r="294" spans="1:27" ht="10.5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61"/>
      <c r="L294" s="235"/>
      <c r="M294" s="235"/>
      <c r="N294" s="235"/>
      <c r="O294" s="235"/>
      <c r="P294" s="235"/>
      <c r="Q294" s="298"/>
      <c r="R294" s="234"/>
      <c r="S294" s="235"/>
      <c r="T294" s="235"/>
      <c r="U294" s="235"/>
      <c r="V294" s="235"/>
      <c r="W294" s="235"/>
      <c r="X294" s="235"/>
      <c r="Y294" s="235"/>
      <c r="Z294" s="235"/>
      <c r="AA294" s="235"/>
    </row>
    <row r="295" spans="1:27" ht="10.5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61"/>
      <c r="L295" s="235"/>
      <c r="M295" s="235"/>
      <c r="N295" s="235"/>
      <c r="O295" s="235"/>
      <c r="P295" s="235"/>
      <c r="Q295" s="298"/>
      <c r="R295" s="234"/>
      <c r="S295" s="235"/>
      <c r="T295" s="235"/>
      <c r="U295" s="235"/>
      <c r="V295" s="235"/>
      <c r="W295" s="235"/>
      <c r="X295" s="235"/>
      <c r="Y295" s="235"/>
      <c r="Z295" s="235"/>
      <c r="AA295" s="235"/>
    </row>
    <row r="296" spans="1:27" ht="10.5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61"/>
      <c r="L296" s="235"/>
      <c r="M296" s="235"/>
      <c r="N296" s="235"/>
      <c r="O296" s="235"/>
      <c r="P296" s="235"/>
      <c r="Q296" s="298"/>
      <c r="R296" s="234"/>
      <c r="S296" s="235"/>
      <c r="T296" s="235"/>
      <c r="U296" s="235"/>
      <c r="V296" s="235"/>
      <c r="W296" s="235"/>
      <c r="X296" s="235"/>
      <c r="Y296" s="235"/>
      <c r="Z296" s="235"/>
      <c r="AA296" s="235"/>
    </row>
    <row r="297" spans="1:27" ht="10.5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61"/>
      <c r="L297" s="235"/>
      <c r="M297" s="235"/>
      <c r="N297" s="235"/>
      <c r="O297" s="235"/>
      <c r="P297" s="235"/>
      <c r="Q297" s="298"/>
      <c r="R297" s="234"/>
      <c r="S297" s="235"/>
      <c r="T297" s="235"/>
      <c r="U297" s="235"/>
      <c r="V297" s="235"/>
      <c r="W297" s="235"/>
      <c r="X297" s="235"/>
      <c r="Y297" s="235"/>
      <c r="Z297" s="235"/>
      <c r="AA297" s="235"/>
    </row>
    <row r="298" spans="1:27" ht="10.5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61"/>
      <c r="L298" s="235"/>
      <c r="M298" s="235"/>
      <c r="N298" s="235"/>
      <c r="O298" s="235"/>
      <c r="P298" s="235"/>
      <c r="Q298" s="298"/>
      <c r="R298" s="234"/>
      <c r="S298" s="235"/>
      <c r="T298" s="235"/>
      <c r="U298" s="235"/>
      <c r="V298" s="235"/>
      <c r="W298" s="235"/>
      <c r="X298" s="235"/>
      <c r="Y298" s="235"/>
      <c r="Z298" s="235"/>
      <c r="AA298" s="235"/>
    </row>
    <row r="299" spans="1:27" ht="10.5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61"/>
      <c r="L299" s="235"/>
      <c r="M299" s="235"/>
      <c r="N299" s="235"/>
      <c r="O299" s="235"/>
      <c r="P299" s="235"/>
      <c r="Q299" s="298"/>
      <c r="R299" s="234"/>
      <c r="S299" s="235"/>
      <c r="T299" s="235"/>
      <c r="U299" s="235"/>
      <c r="V299" s="235"/>
      <c r="W299" s="235"/>
      <c r="X299" s="235"/>
      <c r="Y299" s="235"/>
      <c r="Z299" s="235"/>
      <c r="AA299" s="235"/>
    </row>
    <row r="300" spans="1:27" ht="10.5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61"/>
      <c r="L300" s="235"/>
      <c r="M300" s="235"/>
      <c r="N300" s="235"/>
      <c r="O300" s="235"/>
      <c r="P300" s="235"/>
      <c r="Q300" s="298"/>
      <c r="R300" s="234"/>
      <c r="S300" s="235"/>
      <c r="T300" s="235"/>
      <c r="U300" s="235"/>
      <c r="V300" s="235"/>
      <c r="W300" s="235"/>
      <c r="X300" s="235"/>
      <c r="Y300" s="235"/>
      <c r="Z300" s="235"/>
      <c r="AA300" s="235"/>
    </row>
    <row r="301" spans="1:27" ht="10.5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61"/>
      <c r="L301" s="235"/>
      <c r="M301" s="235"/>
      <c r="N301" s="235"/>
      <c r="O301" s="235"/>
      <c r="P301" s="235"/>
      <c r="Q301" s="298"/>
      <c r="R301" s="234"/>
      <c r="S301" s="235"/>
      <c r="T301" s="235"/>
      <c r="U301" s="235"/>
      <c r="V301" s="235"/>
      <c r="W301" s="235"/>
      <c r="X301" s="235"/>
      <c r="Y301" s="235"/>
      <c r="Z301" s="235"/>
      <c r="AA301" s="235"/>
    </row>
    <row r="302" spans="1:27" ht="10.5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61"/>
      <c r="L302" s="235"/>
      <c r="M302" s="235"/>
      <c r="N302" s="235"/>
      <c r="O302" s="235"/>
      <c r="P302" s="235"/>
      <c r="Q302" s="298"/>
      <c r="R302" s="234"/>
      <c r="S302" s="235"/>
      <c r="T302" s="235"/>
      <c r="U302" s="235"/>
      <c r="V302" s="235"/>
      <c r="W302" s="235"/>
      <c r="X302" s="235"/>
      <c r="Y302" s="235"/>
      <c r="Z302" s="235"/>
      <c r="AA302" s="235"/>
    </row>
    <row r="303" spans="1:27" ht="10.5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61"/>
      <c r="L303" s="235"/>
      <c r="M303" s="235"/>
      <c r="N303" s="235"/>
      <c r="O303" s="235"/>
      <c r="P303" s="235"/>
      <c r="Q303" s="298"/>
      <c r="R303" s="234"/>
      <c r="S303" s="235"/>
      <c r="T303" s="235"/>
      <c r="U303" s="235"/>
      <c r="V303" s="235"/>
      <c r="W303" s="235"/>
      <c r="X303" s="235"/>
      <c r="Y303" s="235"/>
      <c r="Z303" s="235"/>
      <c r="AA303" s="235"/>
    </row>
    <row r="304" spans="1:27" ht="10.5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61"/>
      <c r="L304" s="235"/>
      <c r="M304" s="235"/>
      <c r="N304" s="235"/>
      <c r="O304" s="235"/>
      <c r="P304" s="235"/>
      <c r="Q304" s="298"/>
      <c r="R304" s="234"/>
      <c r="S304" s="235"/>
      <c r="T304" s="235"/>
      <c r="U304" s="235"/>
      <c r="V304" s="235"/>
      <c r="W304" s="235"/>
      <c r="X304" s="235"/>
      <c r="Y304" s="235"/>
      <c r="Z304" s="235"/>
      <c r="AA304" s="235"/>
    </row>
    <row r="305" spans="1:27" ht="10.5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61"/>
      <c r="L305" s="235"/>
      <c r="M305" s="235"/>
      <c r="N305" s="235"/>
      <c r="O305" s="235"/>
      <c r="P305" s="235"/>
      <c r="Q305" s="298"/>
      <c r="R305" s="234"/>
      <c r="S305" s="235"/>
      <c r="T305" s="235"/>
      <c r="U305" s="235"/>
      <c r="V305" s="235"/>
      <c r="W305" s="235"/>
      <c r="X305" s="235"/>
      <c r="Y305" s="235"/>
      <c r="Z305" s="235"/>
      <c r="AA305" s="235"/>
    </row>
    <row r="306" spans="1:27" ht="10.5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61"/>
      <c r="L306" s="235"/>
      <c r="M306" s="235"/>
      <c r="N306" s="235"/>
      <c r="O306" s="235"/>
      <c r="P306" s="235"/>
      <c r="Q306" s="298"/>
      <c r="R306" s="234"/>
      <c r="S306" s="235"/>
      <c r="T306" s="235"/>
      <c r="U306" s="235"/>
      <c r="V306" s="235"/>
      <c r="W306" s="235"/>
      <c r="X306" s="235"/>
      <c r="Y306" s="235"/>
      <c r="Z306" s="235"/>
      <c r="AA306" s="235"/>
    </row>
    <row r="307" spans="1:27" ht="10.5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61"/>
      <c r="L307" s="235"/>
      <c r="M307" s="235"/>
      <c r="N307" s="235"/>
      <c r="O307" s="235"/>
      <c r="P307" s="235"/>
      <c r="Q307" s="298"/>
      <c r="R307" s="234"/>
      <c r="S307" s="235"/>
      <c r="T307" s="235"/>
      <c r="U307" s="235"/>
      <c r="V307" s="235"/>
      <c r="W307" s="235"/>
      <c r="X307" s="235"/>
      <c r="Y307" s="235"/>
      <c r="Z307" s="235"/>
      <c r="AA307" s="235"/>
    </row>
    <row r="308" spans="1:27" ht="10.5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61"/>
      <c r="L308" s="235"/>
      <c r="M308" s="235"/>
      <c r="N308" s="235"/>
      <c r="O308" s="235"/>
      <c r="P308" s="235"/>
      <c r="Q308" s="298"/>
      <c r="R308" s="234"/>
      <c r="S308" s="235"/>
      <c r="T308" s="235"/>
      <c r="U308" s="235"/>
      <c r="V308" s="235"/>
      <c r="W308" s="235"/>
      <c r="X308" s="235"/>
      <c r="Y308" s="235"/>
      <c r="Z308" s="235"/>
      <c r="AA308" s="235"/>
    </row>
    <row r="309" spans="1:27" ht="10.5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61"/>
      <c r="L309" s="235"/>
      <c r="M309" s="235"/>
      <c r="N309" s="235"/>
      <c r="O309" s="235"/>
      <c r="P309" s="235"/>
      <c r="Q309" s="298"/>
      <c r="R309" s="234"/>
      <c r="S309" s="235"/>
      <c r="T309" s="235"/>
      <c r="U309" s="235"/>
      <c r="V309" s="235"/>
      <c r="W309" s="235"/>
      <c r="X309" s="235"/>
      <c r="Y309" s="235"/>
      <c r="Z309" s="235"/>
      <c r="AA309" s="235"/>
    </row>
    <row r="310" spans="1:27" ht="10.5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61"/>
      <c r="L310" s="235"/>
      <c r="M310" s="235"/>
      <c r="N310" s="235"/>
      <c r="O310" s="235"/>
      <c r="P310" s="235"/>
      <c r="Q310" s="298"/>
      <c r="R310" s="234"/>
      <c r="S310" s="235"/>
      <c r="T310" s="235"/>
      <c r="U310" s="235"/>
      <c r="V310" s="235"/>
      <c r="W310" s="235"/>
      <c r="X310" s="235"/>
      <c r="Y310" s="235"/>
      <c r="Z310" s="235"/>
      <c r="AA310" s="235"/>
    </row>
    <row r="311" spans="1:27" ht="10.5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61"/>
      <c r="L311" s="235"/>
      <c r="M311" s="235"/>
      <c r="N311" s="235"/>
      <c r="O311" s="235"/>
      <c r="P311" s="235"/>
      <c r="Q311" s="298"/>
      <c r="R311" s="234"/>
      <c r="S311" s="235"/>
      <c r="T311" s="235"/>
      <c r="U311" s="235"/>
      <c r="V311" s="235"/>
      <c r="W311" s="235"/>
      <c r="X311" s="235"/>
      <c r="Y311" s="235"/>
      <c r="Z311" s="235"/>
      <c r="AA311" s="235"/>
    </row>
    <row r="312" spans="1:27" ht="10.5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61"/>
      <c r="L312" s="235"/>
      <c r="M312" s="235"/>
      <c r="N312" s="235"/>
      <c r="O312" s="235"/>
      <c r="P312" s="235"/>
      <c r="Q312" s="298"/>
      <c r="R312" s="234"/>
      <c r="S312" s="235"/>
      <c r="T312" s="235"/>
      <c r="U312" s="235"/>
      <c r="V312" s="235"/>
      <c r="W312" s="235"/>
      <c r="X312" s="235"/>
      <c r="Y312" s="235"/>
      <c r="Z312" s="235"/>
      <c r="AA312" s="235"/>
    </row>
    <row r="313" spans="1:27" ht="10.5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61"/>
      <c r="L313" s="235"/>
      <c r="M313" s="235"/>
      <c r="N313" s="235"/>
      <c r="O313" s="235"/>
      <c r="P313" s="235"/>
      <c r="Q313" s="298"/>
      <c r="R313" s="234"/>
      <c r="S313" s="235"/>
      <c r="T313" s="235"/>
      <c r="U313" s="235"/>
      <c r="V313" s="235"/>
      <c r="W313" s="235"/>
      <c r="X313" s="235"/>
      <c r="Y313" s="235"/>
      <c r="Z313" s="235"/>
      <c r="AA313" s="235"/>
    </row>
    <row r="314" spans="1:27" ht="10.5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61"/>
      <c r="L314" s="235"/>
      <c r="M314" s="235"/>
      <c r="N314" s="235"/>
      <c r="O314" s="235"/>
      <c r="P314" s="235"/>
      <c r="Q314" s="298"/>
      <c r="R314" s="234"/>
      <c r="S314" s="235"/>
      <c r="T314" s="235"/>
      <c r="U314" s="235"/>
      <c r="V314" s="235"/>
      <c r="W314" s="235"/>
      <c r="X314" s="235"/>
      <c r="Y314" s="235"/>
      <c r="Z314" s="235"/>
      <c r="AA314" s="235"/>
    </row>
    <row r="315" spans="1:27" ht="10.5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61"/>
      <c r="L315" s="235"/>
      <c r="M315" s="235"/>
      <c r="N315" s="235"/>
      <c r="O315" s="235"/>
      <c r="P315" s="235"/>
      <c r="Q315" s="298"/>
      <c r="R315" s="234"/>
      <c r="S315" s="235"/>
      <c r="T315" s="235"/>
      <c r="U315" s="235"/>
      <c r="V315" s="235"/>
      <c r="W315" s="235"/>
      <c r="X315" s="235"/>
      <c r="Y315" s="235"/>
      <c r="Z315" s="235"/>
      <c r="AA315" s="235"/>
    </row>
    <row r="316" spans="1:27" ht="10.5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61"/>
      <c r="L316" s="235"/>
      <c r="M316" s="235"/>
      <c r="N316" s="235"/>
      <c r="O316" s="235"/>
      <c r="P316" s="235"/>
      <c r="Q316" s="298"/>
      <c r="R316" s="234"/>
      <c r="S316" s="235"/>
      <c r="T316" s="235"/>
      <c r="U316" s="235"/>
      <c r="V316" s="235"/>
      <c r="W316" s="235"/>
      <c r="X316" s="235"/>
      <c r="Y316" s="235"/>
      <c r="Z316" s="235"/>
      <c r="AA316" s="235"/>
    </row>
    <row r="317" spans="1:27" ht="10.5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61"/>
      <c r="L317" s="235"/>
      <c r="M317" s="235"/>
      <c r="N317" s="235"/>
      <c r="O317" s="235"/>
      <c r="P317" s="235"/>
      <c r="Q317" s="298"/>
      <c r="R317" s="234"/>
      <c r="S317" s="235"/>
      <c r="T317" s="235"/>
      <c r="U317" s="235"/>
      <c r="V317" s="235"/>
      <c r="W317" s="235"/>
      <c r="X317" s="235"/>
      <c r="Y317" s="235"/>
      <c r="Z317" s="235"/>
      <c r="AA317" s="235"/>
    </row>
    <row r="318" spans="1:27" ht="10.5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61"/>
      <c r="L318" s="235"/>
      <c r="M318" s="235"/>
      <c r="N318" s="235"/>
      <c r="O318" s="235"/>
      <c r="P318" s="235"/>
      <c r="Q318" s="298"/>
      <c r="R318" s="234"/>
      <c r="S318" s="235"/>
      <c r="T318" s="235"/>
      <c r="U318" s="235"/>
      <c r="V318" s="235"/>
      <c r="W318" s="235"/>
      <c r="X318" s="235"/>
      <c r="Y318" s="235"/>
      <c r="Z318" s="235"/>
      <c r="AA318" s="235"/>
    </row>
    <row r="319" spans="1:27" ht="10.5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61"/>
      <c r="L319" s="235"/>
      <c r="M319" s="235"/>
      <c r="N319" s="235"/>
      <c r="O319" s="235"/>
      <c r="P319" s="235"/>
      <c r="Q319" s="298"/>
      <c r="R319" s="234"/>
      <c r="S319" s="235"/>
      <c r="T319" s="235"/>
      <c r="U319" s="235"/>
      <c r="V319" s="235"/>
      <c r="W319" s="235"/>
      <c r="X319" s="235"/>
      <c r="Y319" s="235"/>
      <c r="Z319" s="235"/>
      <c r="AA319" s="235"/>
    </row>
    <row r="320" spans="1:27" ht="10.5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61"/>
      <c r="L320" s="235"/>
      <c r="M320" s="235"/>
      <c r="N320" s="235"/>
      <c r="O320" s="235"/>
      <c r="P320" s="235"/>
      <c r="Q320" s="298"/>
      <c r="R320" s="234"/>
      <c r="S320" s="235"/>
      <c r="T320" s="235"/>
      <c r="U320" s="235"/>
      <c r="V320" s="235"/>
      <c r="W320" s="235"/>
      <c r="X320" s="235"/>
      <c r="Y320" s="235"/>
      <c r="Z320" s="235"/>
      <c r="AA320" s="235"/>
    </row>
    <row r="321" spans="1:27" ht="10.5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61"/>
      <c r="L321" s="235"/>
      <c r="M321" s="235"/>
      <c r="N321" s="235"/>
      <c r="O321" s="235"/>
      <c r="P321" s="235"/>
      <c r="Q321" s="298"/>
      <c r="R321" s="234"/>
      <c r="S321" s="235"/>
      <c r="T321" s="235"/>
      <c r="U321" s="235"/>
      <c r="V321" s="235"/>
      <c r="W321" s="235"/>
      <c r="X321" s="235"/>
      <c r="Y321" s="235"/>
      <c r="Z321" s="235"/>
      <c r="AA321" s="235"/>
    </row>
    <row r="322" spans="1:27" ht="10.5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61"/>
      <c r="L322" s="235"/>
      <c r="M322" s="235"/>
      <c r="N322" s="235"/>
      <c r="O322" s="235"/>
      <c r="P322" s="235"/>
      <c r="Q322" s="298"/>
      <c r="R322" s="234"/>
      <c r="S322" s="235"/>
      <c r="T322" s="235"/>
      <c r="U322" s="235"/>
      <c r="V322" s="235"/>
      <c r="W322" s="235"/>
      <c r="X322" s="235"/>
      <c r="Y322" s="235"/>
      <c r="Z322" s="235"/>
      <c r="AA322" s="235"/>
    </row>
    <row r="323" spans="1:27" ht="10.5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61"/>
      <c r="L323" s="235"/>
      <c r="M323" s="235"/>
      <c r="N323" s="235"/>
      <c r="O323" s="235"/>
      <c r="P323" s="235"/>
      <c r="Q323" s="298"/>
      <c r="R323" s="234"/>
      <c r="S323" s="235"/>
      <c r="T323" s="235"/>
      <c r="U323" s="235"/>
      <c r="V323" s="235"/>
      <c r="W323" s="235"/>
      <c r="X323" s="235"/>
      <c r="Y323" s="235"/>
      <c r="Z323" s="235"/>
      <c r="AA323" s="235"/>
    </row>
    <row r="324" spans="1:27" ht="10.5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61"/>
      <c r="L324" s="235"/>
      <c r="M324" s="235"/>
      <c r="N324" s="235"/>
      <c r="O324" s="235"/>
      <c r="P324" s="235"/>
      <c r="Q324" s="298"/>
      <c r="R324" s="234"/>
      <c r="S324" s="235"/>
      <c r="T324" s="235"/>
      <c r="U324" s="235"/>
      <c r="V324" s="235"/>
      <c r="W324" s="235"/>
      <c r="X324" s="235"/>
      <c r="Y324" s="235"/>
      <c r="Z324" s="235"/>
      <c r="AA324" s="235"/>
    </row>
    <row r="325" spans="1:27" ht="10.5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61"/>
      <c r="L325" s="235"/>
      <c r="M325" s="235"/>
      <c r="N325" s="235"/>
      <c r="O325" s="235"/>
      <c r="P325" s="235"/>
      <c r="Q325" s="298"/>
      <c r="R325" s="234"/>
      <c r="S325" s="235"/>
      <c r="T325" s="235"/>
      <c r="U325" s="235"/>
      <c r="V325" s="235"/>
      <c r="W325" s="235"/>
      <c r="X325" s="235"/>
      <c r="Y325" s="235"/>
      <c r="Z325" s="235"/>
      <c r="AA325" s="235"/>
    </row>
    <row r="326" spans="1:27" ht="10.5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61"/>
      <c r="L326" s="235"/>
      <c r="M326" s="235"/>
      <c r="N326" s="235"/>
      <c r="O326" s="235"/>
      <c r="P326" s="235"/>
      <c r="Q326" s="298"/>
      <c r="R326" s="234"/>
      <c r="S326" s="235"/>
      <c r="T326" s="235"/>
      <c r="U326" s="235"/>
      <c r="V326" s="235"/>
      <c r="W326" s="235"/>
      <c r="X326" s="235"/>
      <c r="Y326" s="235"/>
      <c r="Z326" s="235"/>
      <c r="AA326" s="235"/>
    </row>
    <row r="327" spans="1:27" ht="10.5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61"/>
      <c r="L327" s="235"/>
      <c r="M327" s="235"/>
      <c r="N327" s="235"/>
      <c r="O327" s="235"/>
      <c r="P327" s="235"/>
      <c r="Q327" s="298"/>
      <c r="R327" s="234"/>
      <c r="S327" s="235"/>
      <c r="T327" s="235"/>
      <c r="U327" s="235"/>
      <c r="V327" s="235"/>
      <c r="W327" s="235"/>
      <c r="X327" s="235"/>
      <c r="Y327" s="235"/>
      <c r="Z327" s="235"/>
      <c r="AA327" s="235"/>
    </row>
    <row r="328" spans="1:27" ht="10.5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61"/>
      <c r="L328" s="235"/>
      <c r="M328" s="235"/>
      <c r="N328" s="235"/>
      <c r="O328" s="235"/>
      <c r="P328" s="235"/>
      <c r="Q328" s="298"/>
      <c r="R328" s="234"/>
      <c r="S328" s="235"/>
      <c r="T328" s="235"/>
      <c r="U328" s="235"/>
      <c r="V328" s="235"/>
      <c r="W328" s="235"/>
      <c r="X328" s="235"/>
      <c r="Y328" s="235"/>
      <c r="Z328" s="235"/>
      <c r="AA328" s="235"/>
    </row>
    <row r="329" spans="1:27" ht="10.5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61"/>
      <c r="L329" s="235"/>
      <c r="M329" s="235"/>
      <c r="N329" s="235"/>
      <c r="O329" s="235"/>
      <c r="P329" s="235"/>
      <c r="Q329" s="298"/>
      <c r="R329" s="234"/>
      <c r="S329" s="235"/>
      <c r="T329" s="235"/>
      <c r="U329" s="235"/>
      <c r="V329" s="235"/>
      <c r="W329" s="235"/>
      <c r="X329" s="235"/>
      <c r="Y329" s="235"/>
      <c r="Z329" s="235"/>
      <c r="AA329" s="235"/>
    </row>
    <row r="330" spans="1:27" ht="10.5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61"/>
      <c r="L330" s="235"/>
      <c r="M330" s="235"/>
      <c r="N330" s="235"/>
      <c r="O330" s="235"/>
      <c r="P330" s="235"/>
      <c r="Q330" s="298"/>
      <c r="R330" s="234"/>
      <c r="S330" s="235"/>
      <c r="T330" s="235"/>
      <c r="U330" s="235"/>
      <c r="V330" s="235"/>
      <c r="W330" s="235"/>
      <c r="X330" s="235"/>
      <c r="Y330" s="235"/>
      <c r="Z330" s="235"/>
      <c r="AA330" s="235"/>
    </row>
    <row r="331" spans="1:27" ht="10.5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61"/>
      <c r="L331" s="235"/>
      <c r="M331" s="235"/>
      <c r="N331" s="235"/>
      <c r="O331" s="235"/>
      <c r="P331" s="235"/>
      <c r="Q331" s="298"/>
      <c r="R331" s="234"/>
      <c r="S331" s="235"/>
      <c r="T331" s="235"/>
      <c r="U331" s="235"/>
      <c r="V331" s="235"/>
      <c r="W331" s="235"/>
      <c r="X331" s="235"/>
      <c r="Y331" s="235"/>
      <c r="Z331" s="235"/>
      <c r="AA331" s="235"/>
    </row>
    <row r="332" spans="1:27" ht="10.5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61"/>
      <c r="L332" s="235"/>
      <c r="M332" s="235"/>
      <c r="N332" s="235"/>
      <c r="O332" s="235"/>
      <c r="P332" s="235"/>
      <c r="Q332" s="298"/>
      <c r="R332" s="234"/>
      <c r="S332" s="235"/>
      <c r="T332" s="235"/>
      <c r="U332" s="235"/>
      <c r="V332" s="235"/>
      <c r="W332" s="235"/>
      <c r="X332" s="235"/>
      <c r="Y332" s="235"/>
      <c r="Z332" s="235"/>
      <c r="AA332" s="235"/>
    </row>
    <row r="333" spans="1:27" ht="10.5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61"/>
      <c r="L333" s="235"/>
      <c r="M333" s="235"/>
      <c r="N333" s="235"/>
      <c r="O333" s="235"/>
      <c r="P333" s="235"/>
      <c r="Q333" s="298"/>
      <c r="R333" s="234"/>
      <c r="S333" s="235"/>
      <c r="T333" s="235"/>
      <c r="U333" s="235"/>
      <c r="V333" s="235"/>
      <c r="W333" s="235"/>
      <c r="X333" s="235"/>
      <c r="Y333" s="235"/>
      <c r="Z333" s="235"/>
      <c r="AA333" s="235"/>
    </row>
    <row r="334" spans="1:27" ht="10.5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61"/>
      <c r="L334" s="235"/>
      <c r="M334" s="235"/>
      <c r="N334" s="235"/>
      <c r="O334" s="235"/>
      <c r="P334" s="235"/>
      <c r="Q334" s="298"/>
      <c r="R334" s="234"/>
      <c r="S334" s="235"/>
      <c r="T334" s="235"/>
      <c r="U334" s="235"/>
      <c r="V334" s="235"/>
      <c r="W334" s="235"/>
      <c r="X334" s="235"/>
      <c r="Y334" s="235"/>
      <c r="Z334" s="235"/>
      <c r="AA334" s="235"/>
    </row>
    <row r="335" spans="1:27" ht="10.5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61"/>
      <c r="L335" s="235"/>
      <c r="M335" s="235"/>
      <c r="N335" s="235"/>
      <c r="O335" s="235"/>
      <c r="P335" s="235"/>
      <c r="Q335" s="298"/>
      <c r="R335" s="234"/>
      <c r="S335" s="235"/>
      <c r="T335" s="235"/>
      <c r="U335" s="235"/>
      <c r="V335" s="235"/>
      <c r="W335" s="235"/>
      <c r="X335" s="235"/>
      <c r="Y335" s="235"/>
      <c r="Z335" s="235"/>
      <c r="AA335" s="235"/>
    </row>
    <row r="336" spans="1:27" ht="10.5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61"/>
      <c r="L336" s="235"/>
      <c r="M336" s="235"/>
      <c r="N336" s="235"/>
      <c r="O336" s="235"/>
      <c r="P336" s="235"/>
      <c r="Q336" s="298"/>
      <c r="R336" s="234"/>
      <c r="S336" s="235"/>
      <c r="T336" s="235"/>
      <c r="U336" s="235"/>
      <c r="V336" s="235"/>
      <c r="W336" s="235"/>
      <c r="X336" s="235"/>
      <c r="Y336" s="235"/>
      <c r="Z336" s="235"/>
      <c r="AA336" s="235"/>
    </row>
    <row r="337" spans="1:27" ht="10.5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61"/>
      <c r="L337" s="235"/>
      <c r="M337" s="235"/>
      <c r="N337" s="235"/>
      <c r="O337" s="235"/>
      <c r="P337" s="235"/>
      <c r="Q337" s="298"/>
      <c r="R337" s="234"/>
      <c r="S337" s="235"/>
      <c r="T337" s="235"/>
      <c r="U337" s="235"/>
      <c r="V337" s="235"/>
      <c r="W337" s="235"/>
      <c r="X337" s="235"/>
      <c r="Y337" s="235"/>
      <c r="Z337" s="235"/>
      <c r="AA337" s="235"/>
    </row>
    <row r="338" spans="1:27" ht="10.5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61"/>
      <c r="L338" s="235"/>
      <c r="M338" s="235"/>
      <c r="N338" s="235"/>
      <c r="O338" s="235"/>
      <c r="P338" s="235"/>
      <c r="Q338" s="298"/>
      <c r="R338" s="234"/>
      <c r="S338" s="235"/>
      <c r="T338" s="235"/>
      <c r="U338" s="235"/>
      <c r="V338" s="235"/>
      <c r="W338" s="235"/>
      <c r="X338" s="235"/>
      <c r="Y338" s="235"/>
      <c r="Z338" s="235"/>
      <c r="AA338" s="235"/>
    </row>
    <row r="339" spans="1:27" ht="10.5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61"/>
      <c r="L339" s="235"/>
      <c r="M339" s="235"/>
      <c r="N339" s="235"/>
      <c r="O339" s="235"/>
      <c r="P339" s="235"/>
      <c r="Q339" s="298"/>
      <c r="R339" s="234"/>
      <c r="S339" s="235"/>
      <c r="T339" s="235"/>
      <c r="U339" s="235"/>
      <c r="V339" s="235"/>
      <c r="W339" s="235"/>
      <c r="X339" s="235"/>
      <c r="Y339" s="235"/>
      <c r="Z339" s="235"/>
      <c r="AA339" s="235"/>
    </row>
    <row r="340" spans="1:27" ht="10.5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61"/>
      <c r="L340" s="235"/>
      <c r="M340" s="235"/>
      <c r="N340" s="235"/>
      <c r="O340" s="235"/>
      <c r="P340" s="235"/>
      <c r="Q340" s="298"/>
      <c r="R340" s="234"/>
      <c r="S340" s="235"/>
      <c r="T340" s="235"/>
      <c r="U340" s="235"/>
      <c r="V340" s="235"/>
      <c r="W340" s="235"/>
      <c r="X340" s="235"/>
      <c r="Y340" s="235"/>
      <c r="Z340" s="235"/>
      <c r="AA340" s="235"/>
    </row>
    <row r="341" spans="1:27" ht="10.5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61"/>
      <c r="L341" s="235"/>
      <c r="M341" s="235"/>
      <c r="N341" s="235"/>
      <c r="O341" s="235"/>
      <c r="P341" s="235"/>
      <c r="Q341" s="298"/>
      <c r="R341" s="234"/>
      <c r="S341" s="235"/>
      <c r="T341" s="235"/>
      <c r="U341" s="235"/>
      <c r="V341" s="235"/>
      <c r="W341" s="235"/>
      <c r="X341" s="235"/>
      <c r="Y341" s="235"/>
      <c r="Z341" s="235"/>
      <c r="AA341" s="235"/>
    </row>
    <row r="342" spans="1:27" ht="10.5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61"/>
      <c r="L342" s="235"/>
      <c r="M342" s="235"/>
      <c r="N342" s="235"/>
      <c r="O342" s="235"/>
      <c r="P342" s="235"/>
      <c r="Q342" s="298"/>
      <c r="R342" s="234"/>
      <c r="S342" s="235"/>
      <c r="T342" s="235"/>
      <c r="U342" s="235"/>
      <c r="V342" s="235"/>
      <c r="W342" s="235"/>
      <c r="X342" s="235"/>
      <c r="Y342" s="235"/>
      <c r="Z342" s="235"/>
      <c r="AA342" s="235"/>
    </row>
    <row r="343" spans="1:27" ht="10.5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61"/>
      <c r="L343" s="235"/>
      <c r="M343" s="235"/>
      <c r="N343" s="235"/>
      <c r="O343" s="235"/>
      <c r="P343" s="235"/>
      <c r="Q343" s="298"/>
      <c r="R343" s="234"/>
      <c r="S343" s="235"/>
      <c r="T343" s="235"/>
      <c r="U343" s="235"/>
      <c r="V343" s="235"/>
      <c r="W343" s="235"/>
      <c r="X343" s="235"/>
      <c r="Y343" s="235"/>
      <c r="Z343" s="235"/>
      <c r="AA343" s="235"/>
    </row>
    <row r="344" spans="1:27" ht="10.5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61"/>
      <c r="L344" s="235"/>
      <c r="M344" s="235"/>
      <c r="N344" s="235"/>
      <c r="O344" s="235"/>
      <c r="P344" s="235"/>
      <c r="Q344" s="298"/>
      <c r="R344" s="234"/>
      <c r="S344" s="235"/>
      <c r="T344" s="235"/>
      <c r="U344" s="235"/>
      <c r="V344" s="235"/>
      <c r="W344" s="235"/>
      <c r="X344" s="235"/>
      <c r="Y344" s="235"/>
      <c r="Z344" s="235"/>
      <c r="AA344" s="235"/>
    </row>
    <row r="345" spans="1:27" ht="10.5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61"/>
      <c r="L345" s="235"/>
      <c r="M345" s="235"/>
      <c r="N345" s="235"/>
      <c r="O345" s="235"/>
      <c r="P345" s="235"/>
      <c r="Q345" s="298"/>
      <c r="R345" s="234"/>
      <c r="S345" s="235"/>
      <c r="T345" s="235"/>
      <c r="U345" s="235"/>
      <c r="V345" s="235"/>
      <c r="W345" s="235"/>
      <c r="X345" s="235"/>
      <c r="Y345" s="235"/>
      <c r="Z345" s="235"/>
      <c r="AA345" s="235"/>
    </row>
    <row r="346" spans="1:27" ht="10.5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61"/>
      <c r="L346" s="235"/>
      <c r="M346" s="235"/>
      <c r="N346" s="235"/>
      <c r="O346" s="235"/>
      <c r="P346" s="235"/>
      <c r="Q346" s="298"/>
      <c r="R346" s="234"/>
      <c r="S346" s="235"/>
      <c r="T346" s="235"/>
      <c r="U346" s="235"/>
      <c r="V346" s="235"/>
      <c r="W346" s="235"/>
      <c r="X346" s="235"/>
      <c r="Y346" s="235"/>
      <c r="Z346" s="235"/>
      <c r="AA346" s="235"/>
    </row>
    <row r="347" spans="1:27" ht="10.5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61"/>
      <c r="L347" s="235"/>
      <c r="M347" s="235"/>
      <c r="N347" s="235"/>
      <c r="O347" s="235"/>
      <c r="P347" s="235"/>
      <c r="Q347" s="298"/>
      <c r="R347" s="234"/>
      <c r="S347" s="235"/>
      <c r="T347" s="235"/>
      <c r="U347" s="235"/>
      <c r="V347" s="235"/>
      <c r="W347" s="235"/>
      <c r="X347" s="235"/>
      <c r="Y347" s="235"/>
      <c r="Z347" s="235"/>
      <c r="AA347" s="235"/>
    </row>
    <row r="348" spans="1:27" ht="10.5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61"/>
      <c r="L348" s="235"/>
      <c r="M348" s="235"/>
      <c r="N348" s="235"/>
      <c r="O348" s="235"/>
      <c r="P348" s="235"/>
      <c r="Q348" s="298"/>
      <c r="R348" s="234"/>
      <c r="S348" s="235"/>
      <c r="T348" s="235"/>
      <c r="U348" s="235"/>
      <c r="V348" s="235"/>
      <c r="W348" s="235"/>
      <c r="X348" s="235"/>
      <c r="Y348" s="235"/>
      <c r="Z348" s="235"/>
      <c r="AA348" s="235"/>
    </row>
    <row r="349" spans="1:27" ht="10.5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61"/>
      <c r="L349" s="235"/>
      <c r="M349" s="235"/>
      <c r="N349" s="235"/>
      <c r="O349" s="235"/>
      <c r="P349" s="235"/>
      <c r="Q349" s="298"/>
      <c r="R349" s="234"/>
      <c r="S349" s="235"/>
      <c r="T349" s="235"/>
      <c r="U349" s="235"/>
      <c r="V349" s="235"/>
      <c r="W349" s="235"/>
      <c r="X349" s="235"/>
      <c r="Y349" s="235"/>
      <c r="Z349" s="235"/>
      <c r="AA349" s="235"/>
    </row>
    <row r="350" spans="1:27" ht="10.5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61"/>
      <c r="L350" s="235"/>
      <c r="M350" s="235"/>
      <c r="N350" s="235"/>
      <c r="O350" s="235"/>
      <c r="P350" s="235"/>
      <c r="Q350" s="298"/>
      <c r="R350" s="234"/>
      <c r="S350" s="235"/>
      <c r="T350" s="235"/>
      <c r="U350" s="235"/>
      <c r="V350" s="235"/>
      <c r="W350" s="235"/>
      <c r="X350" s="235"/>
      <c r="Y350" s="235"/>
      <c r="Z350" s="235"/>
      <c r="AA350" s="235"/>
    </row>
    <row r="351" spans="1:27" ht="10.5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61"/>
      <c r="L351" s="235"/>
      <c r="M351" s="235"/>
      <c r="N351" s="235"/>
      <c r="O351" s="235"/>
      <c r="P351" s="235"/>
      <c r="Q351" s="298"/>
      <c r="R351" s="234"/>
      <c r="S351" s="235"/>
      <c r="T351" s="235"/>
      <c r="U351" s="235"/>
      <c r="V351" s="235"/>
      <c r="W351" s="235"/>
      <c r="X351" s="235"/>
      <c r="Y351" s="235"/>
      <c r="Z351" s="235"/>
      <c r="AA351" s="235"/>
    </row>
    <row r="352" spans="1:27" ht="10.5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61"/>
      <c r="L352" s="235"/>
      <c r="M352" s="235"/>
      <c r="N352" s="235"/>
      <c r="O352" s="235"/>
      <c r="P352" s="235"/>
      <c r="Q352" s="298"/>
      <c r="R352" s="234"/>
      <c r="S352" s="235"/>
      <c r="T352" s="235"/>
      <c r="U352" s="235"/>
      <c r="V352" s="235"/>
      <c r="W352" s="235"/>
      <c r="X352" s="235"/>
      <c r="Y352" s="235"/>
      <c r="Z352" s="235"/>
      <c r="AA352" s="235"/>
    </row>
    <row r="353" spans="1:27" ht="10.5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61"/>
      <c r="L353" s="235"/>
      <c r="M353" s="235"/>
      <c r="N353" s="235"/>
      <c r="O353" s="235"/>
      <c r="P353" s="235"/>
      <c r="Q353" s="298"/>
      <c r="R353" s="234"/>
      <c r="S353" s="235"/>
      <c r="T353" s="235"/>
      <c r="U353" s="235"/>
      <c r="V353" s="235"/>
      <c r="W353" s="235"/>
      <c r="X353" s="235"/>
      <c r="Y353" s="235"/>
      <c r="Z353" s="235"/>
      <c r="AA353" s="235"/>
    </row>
    <row r="354" spans="1:27" ht="10.5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61"/>
      <c r="L354" s="235"/>
      <c r="M354" s="235"/>
      <c r="N354" s="235"/>
      <c r="O354" s="235"/>
      <c r="P354" s="235"/>
      <c r="Q354" s="298"/>
      <c r="R354" s="234"/>
      <c r="S354" s="235"/>
      <c r="T354" s="235"/>
      <c r="U354" s="235"/>
      <c r="V354" s="235"/>
      <c r="W354" s="235"/>
      <c r="X354" s="235"/>
      <c r="Y354" s="235"/>
      <c r="Z354" s="235"/>
      <c r="AA354" s="235"/>
    </row>
    <row r="355" spans="1:27" ht="10.5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61"/>
      <c r="L355" s="235"/>
      <c r="M355" s="235"/>
      <c r="N355" s="235"/>
      <c r="O355" s="235"/>
      <c r="P355" s="235"/>
      <c r="Q355" s="298"/>
      <c r="R355" s="234"/>
      <c r="S355" s="235"/>
      <c r="T355" s="235"/>
      <c r="U355" s="235"/>
      <c r="V355" s="235"/>
      <c r="W355" s="235"/>
      <c r="X355" s="235"/>
      <c r="Y355" s="235"/>
      <c r="Z355" s="235"/>
      <c r="AA355" s="235"/>
    </row>
    <row r="356" spans="1:27" ht="10.5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61"/>
      <c r="L356" s="235"/>
      <c r="M356" s="235"/>
      <c r="N356" s="235"/>
      <c r="O356" s="235"/>
      <c r="P356" s="235"/>
      <c r="Q356" s="298"/>
      <c r="R356" s="234"/>
      <c r="S356" s="235"/>
      <c r="T356" s="235"/>
      <c r="U356" s="235"/>
      <c r="V356" s="235"/>
      <c r="W356" s="235"/>
      <c r="X356" s="235"/>
      <c r="Y356" s="235"/>
      <c r="Z356" s="235"/>
      <c r="AA356" s="235"/>
    </row>
    <row r="357" spans="1:27" ht="10.5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61"/>
      <c r="L357" s="235"/>
      <c r="M357" s="235"/>
      <c r="N357" s="235"/>
      <c r="O357" s="235"/>
      <c r="P357" s="235"/>
      <c r="Q357" s="298"/>
      <c r="R357" s="234"/>
      <c r="S357" s="235"/>
      <c r="T357" s="235"/>
      <c r="U357" s="235"/>
      <c r="V357" s="235"/>
      <c r="W357" s="235"/>
      <c r="X357" s="235"/>
      <c r="Y357" s="235"/>
      <c r="Z357" s="235"/>
      <c r="AA357" s="235"/>
    </row>
    <row r="358" spans="1:27" ht="10.5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61"/>
      <c r="L358" s="235"/>
      <c r="M358" s="235"/>
      <c r="N358" s="235"/>
      <c r="O358" s="235"/>
      <c r="P358" s="235"/>
      <c r="Q358" s="298"/>
      <c r="R358" s="234"/>
      <c r="S358" s="235"/>
      <c r="T358" s="235"/>
      <c r="U358" s="235"/>
      <c r="V358" s="235"/>
      <c r="W358" s="235"/>
      <c r="X358" s="235"/>
      <c r="Y358" s="235"/>
      <c r="Z358" s="235"/>
      <c r="AA358" s="235"/>
    </row>
    <row r="359" spans="1:27" ht="10.5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61"/>
      <c r="L359" s="235"/>
      <c r="M359" s="235"/>
      <c r="N359" s="235"/>
      <c r="O359" s="235"/>
      <c r="P359" s="235"/>
      <c r="Q359" s="298"/>
      <c r="R359" s="234"/>
      <c r="S359" s="235"/>
      <c r="T359" s="235"/>
      <c r="U359" s="235"/>
      <c r="V359" s="235"/>
      <c r="W359" s="235"/>
      <c r="X359" s="235"/>
      <c r="Y359" s="235"/>
      <c r="Z359" s="235"/>
      <c r="AA359" s="235"/>
    </row>
    <row r="360" spans="1:27" ht="10.5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61"/>
      <c r="L360" s="235"/>
      <c r="M360" s="235"/>
      <c r="N360" s="235"/>
      <c r="O360" s="235"/>
      <c r="P360" s="235"/>
      <c r="Q360" s="298"/>
      <c r="R360" s="234"/>
      <c r="S360" s="235"/>
      <c r="T360" s="235"/>
      <c r="U360" s="235"/>
      <c r="V360" s="235"/>
      <c r="W360" s="235"/>
      <c r="X360" s="235"/>
      <c r="Y360" s="235"/>
      <c r="Z360" s="235"/>
      <c r="AA360" s="235"/>
    </row>
    <row r="361" spans="1:27" ht="10.5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61"/>
      <c r="L361" s="235"/>
      <c r="M361" s="235"/>
      <c r="N361" s="235"/>
      <c r="O361" s="235"/>
      <c r="P361" s="235"/>
      <c r="Q361" s="298"/>
      <c r="R361" s="234"/>
      <c r="S361" s="235"/>
      <c r="T361" s="235"/>
      <c r="U361" s="235"/>
      <c r="V361" s="235"/>
      <c r="W361" s="235"/>
      <c r="X361" s="235"/>
      <c r="Y361" s="235"/>
      <c r="Z361" s="235"/>
      <c r="AA361" s="235"/>
    </row>
    <row r="362" spans="1:27" ht="10.5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61"/>
      <c r="L362" s="235"/>
      <c r="M362" s="235"/>
      <c r="N362" s="235"/>
      <c r="O362" s="235"/>
      <c r="P362" s="235"/>
      <c r="Q362" s="298"/>
      <c r="R362" s="234"/>
      <c r="S362" s="235"/>
      <c r="T362" s="235"/>
      <c r="U362" s="235"/>
      <c r="V362" s="235"/>
      <c r="W362" s="235"/>
      <c r="X362" s="235"/>
      <c r="Y362" s="235"/>
      <c r="Z362" s="235"/>
      <c r="AA362" s="235"/>
    </row>
    <row r="363" spans="1:27" ht="10.5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61"/>
      <c r="L363" s="235"/>
      <c r="M363" s="235"/>
      <c r="N363" s="235"/>
      <c r="O363" s="235"/>
      <c r="P363" s="235"/>
      <c r="Q363" s="298"/>
      <c r="R363" s="234"/>
      <c r="S363" s="235"/>
      <c r="T363" s="235"/>
      <c r="U363" s="235"/>
      <c r="V363" s="235"/>
      <c r="W363" s="235"/>
      <c r="X363" s="235"/>
      <c r="Y363" s="235"/>
      <c r="Z363" s="235"/>
      <c r="AA363" s="235"/>
    </row>
    <row r="364" spans="1:27" ht="10.5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61"/>
      <c r="L364" s="235"/>
      <c r="M364" s="235"/>
      <c r="N364" s="235"/>
      <c r="O364" s="235"/>
      <c r="P364" s="235"/>
      <c r="Q364" s="298"/>
      <c r="R364" s="234"/>
      <c r="S364" s="235"/>
      <c r="T364" s="235"/>
      <c r="U364" s="235"/>
      <c r="V364" s="235"/>
      <c r="W364" s="235"/>
      <c r="X364" s="235"/>
      <c r="Y364" s="235"/>
      <c r="Z364" s="235"/>
      <c r="AA364" s="235"/>
    </row>
    <row r="365" spans="1:27" ht="10.5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61"/>
      <c r="L365" s="235"/>
      <c r="M365" s="235"/>
      <c r="N365" s="235"/>
      <c r="O365" s="235"/>
      <c r="P365" s="235"/>
      <c r="Q365" s="298"/>
      <c r="R365" s="234"/>
      <c r="S365" s="235"/>
      <c r="T365" s="235"/>
      <c r="U365" s="235"/>
      <c r="V365" s="235"/>
      <c r="W365" s="235"/>
      <c r="X365" s="235"/>
      <c r="Y365" s="235"/>
      <c r="Z365" s="235"/>
      <c r="AA365" s="235"/>
    </row>
    <row r="366" spans="1:27" ht="10.5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61"/>
      <c r="L366" s="235"/>
      <c r="M366" s="235"/>
      <c r="N366" s="235"/>
      <c r="O366" s="235"/>
      <c r="P366" s="235"/>
      <c r="Q366" s="298"/>
      <c r="R366" s="234"/>
      <c r="S366" s="235"/>
      <c r="T366" s="235"/>
      <c r="U366" s="235"/>
      <c r="V366" s="235"/>
      <c r="W366" s="235"/>
      <c r="X366" s="235"/>
      <c r="Y366" s="235"/>
      <c r="Z366" s="235"/>
      <c r="AA366" s="235"/>
    </row>
    <row r="367" spans="1:27" ht="10.5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61"/>
      <c r="L367" s="235"/>
      <c r="M367" s="235"/>
      <c r="N367" s="235"/>
      <c r="O367" s="235"/>
      <c r="P367" s="235"/>
      <c r="Q367" s="298"/>
      <c r="R367" s="234"/>
      <c r="S367" s="235"/>
      <c r="T367" s="235"/>
      <c r="U367" s="235"/>
      <c r="V367" s="235"/>
      <c r="W367" s="235"/>
      <c r="X367" s="235"/>
      <c r="Y367" s="235"/>
      <c r="Z367" s="235"/>
      <c r="AA367" s="235"/>
    </row>
    <row r="368" spans="1:27" ht="10.5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61"/>
      <c r="L368" s="235"/>
      <c r="M368" s="235"/>
      <c r="N368" s="235"/>
      <c r="O368" s="235"/>
      <c r="P368" s="235"/>
      <c r="Q368" s="298"/>
      <c r="R368" s="234"/>
      <c r="S368" s="235"/>
      <c r="T368" s="235"/>
      <c r="U368" s="235"/>
      <c r="V368" s="235"/>
      <c r="W368" s="235"/>
      <c r="X368" s="235"/>
      <c r="Y368" s="235"/>
      <c r="Z368" s="235"/>
      <c r="AA368" s="235"/>
    </row>
    <row r="369" spans="1:27" ht="10.5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61"/>
      <c r="L369" s="235"/>
      <c r="M369" s="235"/>
      <c r="N369" s="235"/>
      <c r="O369" s="235"/>
      <c r="P369" s="235"/>
      <c r="Q369" s="298"/>
      <c r="R369" s="234"/>
      <c r="S369" s="235"/>
      <c r="T369" s="235"/>
      <c r="U369" s="235"/>
      <c r="V369" s="235"/>
      <c r="W369" s="235"/>
      <c r="X369" s="235"/>
      <c r="Y369" s="235"/>
      <c r="Z369" s="235"/>
      <c r="AA369" s="235"/>
    </row>
    <row r="370" spans="1:27" ht="10.5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61"/>
      <c r="L370" s="235"/>
      <c r="M370" s="235"/>
      <c r="N370" s="235"/>
      <c r="O370" s="235"/>
      <c r="P370" s="235"/>
      <c r="Q370" s="298"/>
      <c r="R370" s="234"/>
      <c r="S370" s="235"/>
      <c r="T370" s="235"/>
      <c r="U370" s="235"/>
      <c r="V370" s="235"/>
      <c r="W370" s="235"/>
      <c r="X370" s="235"/>
      <c r="Y370" s="235"/>
      <c r="Z370" s="235"/>
      <c r="AA370" s="235"/>
    </row>
    <row r="371" spans="1:27" ht="10.5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61"/>
      <c r="L371" s="235"/>
      <c r="M371" s="235"/>
      <c r="N371" s="235"/>
      <c r="O371" s="235"/>
      <c r="P371" s="235"/>
      <c r="Q371" s="298"/>
      <c r="R371" s="234"/>
      <c r="S371" s="235"/>
      <c r="T371" s="235"/>
      <c r="U371" s="235"/>
      <c r="V371" s="235"/>
      <c r="W371" s="235"/>
      <c r="X371" s="235"/>
      <c r="Y371" s="235"/>
      <c r="Z371" s="235"/>
      <c r="AA371" s="235"/>
    </row>
    <row r="372" spans="1:27" ht="10.5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61"/>
      <c r="L372" s="235"/>
      <c r="M372" s="235"/>
      <c r="N372" s="235"/>
      <c r="O372" s="235"/>
      <c r="P372" s="235"/>
      <c r="Q372" s="298"/>
      <c r="R372" s="234"/>
      <c r="S372" s="235"/>
      <c r="T372" s="235"/>
      <c r="U372" s="235"/>
      <c r="V372" s="235"/>
      <c r="W372" s="235"/>
      <c r="X372" s="235"/>
      <c r="Y372" s="235"/>
      <c r="Z372" s="235"/>
      <c r="AA372" s="235"/>
    </row>
    <row r="373" spans="1:27" ht="10.5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61"/>
      <c r="L373" s="235"/>
      <c r="M373" s="235"/>
      <c r="N373" s="235"/>
      <c r="O373" s="235"/>
      <c r="P373" s="235"/>
      <c r="Q373" s="298"/>
      <c r="R373" s="234"/>
      <c r="S373" s="235"/>
      <c r="T373" s="235"/>
      <c r="U373" s="235"/>
      <c r="V373" s="235"/>
      <c r="W373" s="235"/>
      <c r="X373" s="235"/>
      <c r="Y373" s="235"/>
      <c r="Z373" s="235"/>
      <c r="AA373" s="235"/>
    </row>
    <row r="374" spans="1:27" ht="10.5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61"/>
      <c r="L374" s="235"/>
      <c r="M374" s="235"/>
      <c r="N374" s="235"/>
      <c r="O374" s="235"/>
      <c r="P374" s="235"/>
      <c r="Q374" s="298"/>
      <c r="R374" s="234"/>
      <c r="S374" s="235"/>
      <c r="T374" s="235"/>
      <c r="U374" s="235"/>
      <c r="V374" s="235"/>
      <c r="W374" s="235"/>
      <c r="X374" s="235"/>
      <c r="Y374" s="235"/>
      <c r="Z374" s="235"/>
      <c r="AA374" s="235"/>
    </row>
    <row r="375" spans="1:27" ht="10.5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61"/>
      <c r="L375" s="235"/>
      <c r="M375" s="235"/>
      <c r="N375" s="235"/>
      <c r="O375" s="235"/>
      <c r="P375" s="235"/>
      <c r="Q375" s="298"/>
      <c r="R375" s="234"/>
      <c r="S375" s="235"/>
      <c r="T375" s="235"/>
      <c r="U375" s="235"/>
      <c r="V375" s="235"/>
      <c r="W375" s="235"/>
      <c r="X375" s="235"/>
      <c r="Y375" s="235"/>
      <c r="Z375" s="235"/>
      <c r="AA375" s="235"/>
    </row>
    <row r="376" spans="1:27" ht="10.5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61"/>
      <c r="L376" s="235"/>
      <c r="M376" s="235"/>
      <c r="N376" s="235"/>
      <c r="O376" s="235"/>
      <c r="P376" s="235"/>
      <c r="Q376" s="298"/>
      <c r="R376" s="234"/>
      <c r="S376" s="235"/>
      <c r="T376" s="235"/>
      <c r="U376" s="235"/>
      <c r="V376" s="235"/>
      <c r="W376" s="235"/>
      <c r="X376" s="235"/>
      <c r="Y376" s="235"/>
      <c r="Z376" s="235"/>
      <c r="AA376" s="235"/>
    </row>
    <row r="377" spans="1:27" ht="10.5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61"/>
      <c r="L377" s="235"/>
      <c r="M377" s="235"/>
      <c r="N377" s="235"/>
      <c r="O377" s="235"/>
      <c r="P377" s="235"/>
      <c r="Q377" s="298"/>
      <c r="R377" s="234"/>
      <c r="S377" s="235"/>
      <c r="T377" s="235"/>
      <c r="U377" s="235"/>
      <c r="V377" s="235"/>
      <c r="W377" s="235"/>
      <c r="X377" s="235"/>
      <c r="Y377" s="235"/>
      <c r="Z377" s="235"/>
      <c r="AA377" s="235"/>
    </row>
    <row r="378" spans="1:27" ht="10.5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61"/>
      <c r="L378" s="235"/>
      <c r="M378" s="235"/>
      <c r="N378" s="235"/>
      <c r="O378" s="235"/>
      <c r="P378" s="235"/>
      <c r="Q378" s="298"/>
      <c r="R378" s="234"/>
      <c r="S378" s="235"/>
      <c r="T378" s="235"/>
      <c r="U378" s="235"/>
      <c r="V378" s="235"/>
      <c r="W378" s="235"/>
      <c r="X378" s="235"/>
      <c r="Y378" s="235"/>
      <c r="Z378" s="235"/>
      <c r="AA378" s="235"/>
    </row>
    <row r="379" spans="1:27" ht="10.5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61"/>
      <c r="L379" s="235"/>
      <c r="M379" s="235"/>
      <c r="N379" s="235"/>
      <c r="O379" s="235"/>
      <c r="P379" s="235"/>
      <c r="Q379" s="298"/>
      <c r="R379" s="234"/>
      <c r="S379" s="235"/>
      <c r="T379" s="235"/>
      <c r="U379" s="235"/>
      <c r="V379" s="235"/>
      <c r="W379" s="235"/>
      <c r="X379" s="235"/>
      <c r="Y379" s="235"/>
      <c r="Z379" s="235"/>
      <c r="AA379" s="235"/>
    </row>
    <row r="380" spans="1:27" ht="10.5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61"/>
      <c r="L380" s="235"/>
      <c r="M380" s="235"/>
      <c r="N380" s="235"/>
      <c r="O380" s="235"/>
      <c r="P380" s="235"/>
      <c r="Q380" s="298"/>
      <c r="R380" s="234"/>
      <c r="S380" s="235"/>
      <c r="T380" s="235"/>
      <c r="U380" s="235"/>
      <c r="V380" s="235"/>
      <c r="W380" s="235"/>
      <c r="X380" s="235"/>
      <c r="Y380" s="235"/>
      <c r="Z380" s="235"/>
      <c r="AA380" s="235"/>
    </row>
    <row r="381" spans="1:27" ht="10.5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61"/>
      <c r="L381" s="235"/>
      <c r="M381" s="235"/>
      <c r="N381" s="235"/>
      <c r="O381" s="235"/>
      <c r="P381" s="235"/>
      <c r="Q381" s="298"/>
      <c r="R381" s="234"/>
      <c r="S381" s="235"/>
      <c r="T381" s="235"/>
      <c r="U381" s="235"/>
      <c r="V381" s="235"/>
      <c r="W381" s="235"/>
      <c r="X381" s="235"/>
      <c r="Y381" s="235"/>
      <c r="Z381" s="235"/>
      <c r="AA381" s="235"/>
    </row>
    <row r="382" spans="1:27" ht="10.5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61"/>
      <c r="L382" s="235"/>
      <c r="M382" s="235"/>
      <c r="N382" s="235"/>
      <c r="O382" s="235"/>
      <c r="P382" s="235"/>
      <c r="Q382" s="298"/>
      <c r="R382" s="234"/>
      <c r="S382" s="235"/>
      <c r="T382" s="235"/>
      <c r="U382" s="235"/>
      <c r="V382" s="235"/>
      <c r="W382" s="235"/>
      <c r="X382" s="235"/>
      <c r="Y382" s="235"/>
      <c r="Z382" s="235"/>
      <c r="AA382" s="235"/>
    </row>
    <row r="383" spans="1:27" ht="10.5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61"/>
      <c r="L383" s="235"/>
      <c r="M383" s="235"/>
      <c r="N383" s="235"/>
      <c r="O383" s="235"/>
      <c r="P383" s="235"/>
      <c r="Q383" s="298"/>
      <c r="R383" s="234"/>
      <c r="S383" s="235"/>
      <c r="T383" s="235"/>
      <c r="U383" s="235"/>
      <c r="V383" s="235"/>
      <c r="W383" s="235"/>
      <c r="X383" s="235"/>
      <c r="Y383" s="235"/>
      <c r="Z383" s="235"/>
      <c r="AA383" s="235"/>
    </row>
    <row r="384" spans="1:27" ht="10.5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61"/>
      <c r="L384" s="235"/>
      <c r="M384" s="235"/>
      <c r="N384" s="235"/>
      <c r="O384" s="235"/>
      <c r="P384" s="235"/>
      <c r="Q384" s="298"/>
      <c r="R384" s="234"/>
      <c r="S384" s="235"/>
      <c r="T384" s="235"/>
      <c r="U384" s="235"/>
      <c r="V384" s="235"/>
      <c r="W384" s="235"/>
      <c r="X384" s="235"/>
      <c r="Y384" s="235"/>
      <c r="Z384" s="235"/>
      <c r="AA384" s="235"/>
    </row>
    <row r="385" spans="1:27" ht="10.5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61"/>
      <c r="L385" s="235"/>
      <c r="M385" s="235"/>
      <c r="N385" s="235"/>
      <c r="O385" s="235"/>
      <c r="P385" s="235"/>
      <c r="Q385" s="298"/>
      <c r="R385" s="234"/>
      <c r="S385" s="235"/>
      <c r="T385" s="235"/>
      <c r="U385" s="235"/>
      <c r="V385" s="235"/>
      <c r="W385" s="235"/>
      <c r="X385" s="235"/>
      <c r="Y385" s="235"/>
      <c r="Z385" s="235"/>
      <c r="AA385" s="235"/>
    </row>
    <row r="386" spans="1:27" ht="10.5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61"/>
      <c r="L386" s="235"/>
      <c r="M386" s="235"/>
      <c r="N386" s="235"/>
      <c r="O386" s="235"/>
      <c r="P386" s="235"/>
      <c r="Q386" s="298"/>
      <c r="R386" s="234"/>
      <c r="S386" s="235"/>
      <c r="T386" s="235"/>
      <c r="U386" s="235"/>
      <c r="V386" s="235"/>
      <c r="W386" s="235"/>
      <c r="X386" s="235"/>
      <c r="Y386" s="235"/>
      <c r="Z386" s="235"/>
      <c r="AA386" s="235"/>
    </row>
    <row r="387" spans="1:27" ht="10.5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61"/>
      <c r="L387" s="235"/>
      <c r="M387" s="235"/>
      <c r="N387" s="235"/>
      <c r="O387" s="235"/>
      <c r="P387" s="235"/>
      <c r="Q387" s="298"/>
      <c r="R387" s="234"/>
      <c r="S387" s="235"/>
      <c r="T387" s="235"/>
      <c r="U387" s="235"/>
      <c r="V387" s="235"/>
      <c r="W387" s="235"/>
      <c r="X387" s="235"/>
      <c r="Y387" s="235"/>
      <c r="Z387" s="235"/>
      <c r="AA387" s="235"/>
    </row>
    <row r="388" spans="1:27" ht="10.5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61"/>
      <c r="L388" s="235"/>
      <c r="M388" s="235"/>
      <c r="N388" s="235"/>
      <c r="O388" s="235"/>
      <c r="P388" s="235"/>
      <c r="Q388" s="298"/>
      <c r="R388" s="234"/>
      <c r="S388" s="235"/>
      <c r="T388" s="235"/>
      <c r="U388" s="235"/>
      <c r="V388" s="235"/>
      <c r="W388" s="235"/>
      <c r="X388" s="235"/>
      <c r="Y388" s="235"/>
      <c r="Z388" s="235"/>
      <c r="AA388" s="235"/>
    </row>
    <row r="389" spans="1:27" ht="10.5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61"/>
      <c r="L389" s="235"/>
      <c r="M389" s="235"/>
      <c r="N389" s="235"/>
      <c r="O389" s="235"/>
      <c r="P389" s="235"/>
      <c r="Q389" s="298"/>
      <c r="R389" s="234"/>
      <c r="S389" s="235"/>
      <c r="T389" s="235"/>
      <c r="U389" s="235"/>
      <c r="V389" s="235"/>
      <c r="W389" s="235"/>
      <c r="X389" s="235"/>
      <c r="Y389" s="235"/>
      <c r="Z389" s="235"/>
      <c r="AA389" s="235"/>
    </row>
    <row r="390" spans="1:27" ht="10.5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61"/>
      <c r="L390" s="235"/>
      <c r="M390" s="235"/>
      <c r="N390" s="235"/>
      <c r="O390" s="235"/>
      <c r="P390" s="235"/>
      <c r="Q390" s="298"/>
      <c r="R390" s="234"/>
      <c r="S390" s="235"/>
      <c r="T390" s="235"/>
      <c r="U390" s="235"/>
      <c r="V390" s="235"/>
      <c r="W390" s="235"/>
      <c r="X390" s="235"/>
      <c r="Y390" s="235"/>
      <c r="Z390" s="235"/>
      <c r="AA390" s="235"/>
    </row>
    <row r="391" spans="1:27" ht="10.5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61"/>
      <c r="L391" s="235"/>
      <c r="M391" s="235"/>
      <c r="N391" s="235"/>
      <c r="O391" s="235"/>
      <c r="P391" s="235"/>
      <c r="Q391" s="298"/>
      <c r="R391" s="234"/>
      <c r="S391" s="235"/>
      <c r="T391" s="235"/>
      <c r="U391" s="235"/>
      <c r="V391" s="235"/>
      <c r="W391" s="235"/>
      <c r="X391" s="235"/>
      <c r="Y391" s="235"/>
      <c r="Z391" s="235"/>
      <c r="AA391" s="235"/>
    </row>
    <row r="392" spans="1:27" ht="10.5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61"/>
      <c r="L392" s="235"/>
      <c r="M392" s="235"/>
      <c r="N392" s="235"/>
      <c r="O392" s="235"/>
      <c r="P392" s="235"/>
      <c r="Q392" s="298"/>
      <c r="R392" s="234"/>
      <c r="S392" s="235"/>
      <c r="T392" s="235"/>
      <c r="U392" s="235"/>
      <c r="V392" s="235"/>
      <c r="W392" s="235"/>
      <c r="X392" s="235"/>
      <c r="Y392" s="235"/>
      <c r="Z392" s="235"/>
      <c r="AA392" s="235"/>
    </row>
    <row r="393" spans="1:27" ht="10.5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61"/>
      <c r="L393" s="235"/>
      <c r="M393" s="235"/>
      <c r="N393" s="235"/>
      <c r="O393" s="235"/>
      <c r="P393" s="235"/>
      <c r="Q393" s="298"/>
      <c r="R393" s="234"/>
      <c r="S393" s="235"/>
      <c r="T393" s="235"/>
      <c r="U393" s="235"/>
      <c r="V393" s="235"/>
      <c r="W393" s="235"/>
      <c r="X393" s="235"/>
      <c r="Y393" s="235"/>
      <c r="Z393" s="235"/>
      <c r="AA393" s="235"/>
    </row>
    <row r="394" spans="1:27" ht="10.5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61"/>
      <c r="L394" s="235"/>
      <c r="M394" s="235"/>
      <c r="N394" s="235"/>
      <c r="O394" s="235"/>
      <c r="P394" s="235"/>
      <c r="Q394" s="298"/>
      <c r="R394" s="234"/>
      <c r="S394" s="235"/>
      <c r="T394" s="235"/>
      <c r="U394" s="235"/>
      <c r="V394" s="235"/>
      <c r="W394" s="235"/>
      <c r="X394" s="235"/>
      <c r="Y394" s="235"/>
      <c r="Z394" s="235"/>
      <c r="AA394" s="235"/>
    </row>
    <row r="395" spans="1:27" ht="10.5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61"/>
      <c r="L395" s="235"/>
      <c r="M395" s="235"/>
      <c r="N395" s="235"/>
      <c r="O395" s="235"/>
      <c r="P395" s="235"/>
      <c r="Q395" s="298"/>
      <c r="R395" s="234"/>
      <c r="S395" s="235"/>
      <c r="T395" s="235"/>
      <c r="U395" s="235"/>
      <c r="V395" s="235"/>
      <c r="W395" s="235"/>
      <c r="X395" s="235"/>
      <c r="Y395" s="235"/>
      <c r="Z395" s="235"/>
      <c r="AA395" s="235"/>
    </row>
    <row r="396" spans="1:27" ht="10.5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61"/>
      <c r="L396" s="235"/>
      <c r="M396" s="235"/>
      <c r="N396" s="235"/>
      <c r="O396" s="235"/>
      <c r="P396" s="235"/>
      <c r="Q396" s="298"/>
      <c r="R396" s="234"/>
      <c r="S396" s="235"/>
      <c r="T396" s="235"/>
      <c r="U396" s="235"/>
      <c r="V396" s="235"/>
      <c r="W396" s="235"/>
      <c r="X396" s="235"/>
      <c r="Y396" s="235"/>
      <c r="Z396" s="235"/>
      <c r="AA396" s="235"/>
    </row>
    <row r="397" spans="1:27" ht="10.5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61"/>
      <c r="L397" s="235"/>
      <c r="M397" s="235"/>
      <c r="N397" s="235"/>
      <c r="O397" s="235"/>
      <c r="P397" s="235"/>
      <c r="Q397" s="298"/>
      <c r="R397" s="234"/>
      <c r="S397" s="235"/>
      <c r="T397" s="235"/>
      <c r="U397" s="235"/>
      <c r="V397" s="235"/>
      <c r="W397" s="235"/>
      <c r="X397" s="235"/>
      <c r="Y397" s="235"/>
      <c r="Z397" s="235"/>
      <c r="AA397" s="235"/>
    </row>
    <row r="398" spans="1:27" ht="10.5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61"/>
      <c r="L398" s="235"/>
      <c r="M398" s="235"/>
      <c r="N398" s="235"/>
      <c r="O398" s="235"/>
      <c r="P398" s="235"/>
      <c r="Q398" s="298"/>
      <c r="R398" s="234"/>
      <c r="S398" s="235"/>
      <c r="T398" s="235"/>
      <c r="U398" s="235"/>
      <c r="V398" s="235"/>
      <c r="W398" s="235"/>
      <c r="X398" s="235"/>
      <c r="Y398" s="235"/>
      <c r="Z398" s="235"/>
      <c r="AA398" s="235"/>
    </row>
    <row r="399" spans="1:27" ht="10.5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61"/>
      <c r="L399" s="235"/>
      <c r="M399" s="235"/>
      <c r="N399" s="235"/>
      <c r="O399" s="235"/>
      <c r="P399" s="235"/>
      <c r="Q399" s="298"/>
      <c r="R399" s="234"/>
      <c r="S399" s="235"/>
      <c r="T399" s="235"/>
      <c r="U399" s="235"/>
      <c r="V399" s="235"/>
      <c r="W399" s="235"/>
      <c r="X399" s="235"/>
      <c r="Y399" s="235"/>
      <c r="Z399" s="235"/>
      <c r="AA399" s="235"/>
    </row>
    <row r="400" spans="1:27" ht="10.5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61"/>
      <c r="L400" s="235"/>
      <c r="M400" s="235"/>
      <c r="N400" s="235"/>
      <c r="O400" s="235"/>
      <c r="P400" s="235"/>
      <c r="Q400" s="298"/>
      <c r="R400" s="234"/>
      <c r="S400" s="235"/>
      <c r="T400" s="235"/>
      <c r="U400" s="235"/>
      <c r="V400" s="235"/>
      <c r="W400" s="235"/>
      <c r="X400" s="235"/>
      <c r="Y400" s="235"/>
      <c r="Z400" s="235"/>
      <c r="AA400" s="235"/>
    </row>
    <row r="401" spans="1:27" ht="10.5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61"/>
      <c r="L401" s="235"/>
      <c r="M401" s="235"/>
      <c r="N401" s="235"/>
      <c r="O401" s="235"/>
      <c r="P401" s="235"/>
      <c r="Q401" s="298"/>
      <c r="R401" s="234"/>
      <c r="S401" s="235"/>
      <c r="T401" s="235"/>
      <c r="U401" s="235"/>
      <c r="V401" s="235"/>
      <c r="W401" s="235"/>
      <c r="X401" s="235"/>
      <c r="Y401" s="235"/>
      <c r="Z401" s="235"/>
      <c r="AA401" s="235"/>
    </row>
    <row r="402" spans="1:27" ht="10.5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61"/>
      <c r="L402" s="235"/>
      <c r="M402" s="235"/>
      <c r="N402" s="235"/>
      <c r="O402" s="235"/>
      <c r="P402" s="235"/>
      <c r="Q402" s="298"/>
      <c r="R402" s="234"/>
      <c r="S402" s="235"/>
      <c r="T402" s="235"/>
      <c r="U402" s="235"/>
      <c r="V402" s="235"/>
      <c r="W402" s="235"/>
      <c r="X402" s="235"/>
      <c r="Y402" s="235"/>
      <c r="Z402" s="235"/>
      <c r="AA402" s="235"/>
    </row>
    <row r="403" spans="1:27" ht="10.5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61"/>
      <c r="L403" s="235"/>
      <c r="M403" s="235"/>
      <c r="N403" s="235"/>
      <c r="O403" s="235"/>
      <c r="P403" s="235"/>
      <c r="Q403" s="298"/>
      <c r="R403" s="234"/>
      <c r="S403" s="235"/>
      <c r="T403" s="235"/>
      <c r="U403" s="235"/>
      <c r="V403" s="235"/>
      <c r="W403" s="235"/>
      <c r="X403" s="235"/>
      <c r="Y403" s="235"/>
      <c r="Z403" s="235"/>
      <c r="AA403" s="235"/>
    </row>
    <row r="404" spans="1:27" ht="10.5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61"/>
      <c r="L404" s="235"/>
      <c r="M404" s="235"/>
      <c r="N404" s="235"/>
      <c r="O404" s="235"/>
      <c r="P404" s="235"/>
      <c r="Q404" s="298"/>
      <c r="R404" s="234"/>
      <c r="S404" s="235"/>
      <c r="T404" s="235"/>
      <c r="U404" s="235"/>
      <c r="V404" s="235"/>
      <c r="W404" s="235"/>
      <c r="X404" s="235"/>
      <c r="Y404" s="235"/>
      <c r="Z404" s="235"/>
      <c r="AA404" s="235"/>
    </row>
    <row r="405" spans="1:27" ht="10.5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61"/>
      <c r="L405" s="235"/>
      <c r="M405" s="235"/>
      <c r="N405" s="235"/>
      <c r="O405" s="235"/>
      <c r="P405" s="235"/>
      <c r="Q405" s="298"/>
      <c r="R405" s="234"/>
      <c r="S405" s="235"/>
      <c r="T405" s="235"/>
      <c r="U405" s="235"/>
      <c r="V405" s="235"/>
      <c r="W405" s="235"/>
      <c r="X405" s="235"/>
      <c r="Y405" s="235"/>
      <c r="Z405" s="235"/>
      <c r="AA405" s="235"/>
    </row>
    <row r="406" spans="1:27" ht="10.5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61"/>
      <c r="L406" s="235"/>
      <c r="M406" s="235"/>
      <c r="N406" s="235"/>
      <c r="O406" s="235"/>
      <c r="P406" s="235"/>
      <c r="Q406" s="298"/>
      <c r="R406" s="234"/>
      <c r="S406" s="235"/>
      <c r="T406" s="235"/>
      <c r="U406" s="235"/>
      <c r="V406" s="235"/>
      <c r="W406" s="235"/>
      <c r="X406" s="235"/>
      <c r="Y406" s="235"/>
      <c r="Z406" s="235"/>
      <c r="AA406" s="235"/>
    </row>
    <row r="407" spans="1:27" ht="10.5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61"/>
      <c r="L407" s="235"/>
      <c r="M407" s="235"/>
      <c r="N407" s="235"/>
      <c r="O407" s="235"/>
      <c r="P407" s="235"/>
      <c r="Q407" s="298"/>
      <c r="R407" s="234"/>
      <c r="S407" s="235"/>
      <c r="T407" s="235"/>
      <c r="U407" s="235"/>
      <c r="V407" s="235"/>
      <c r="W407" s="235"/>
      <c r="X407" s="235"/>
      <c r="Y407" s="235"/>
      <c r="Z407" s="235"/>
      <c r="AA407" s="235"/>
    </row>
    <row r="408" spans="1:27" ht="10.5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61"/>
      <c r="L408" s="235"/>
      <c r="M408" s="235"/>
      <c r="N408" s="235"/>
      <c r="O408" s="235"/>
      <c r="P408" s="235"/>
      <c r="Q408" s="298"/>
      <c r="R408" s="234"/>
      <c r="S408" s="235"/>
      <c r="T408" s="235"/>
      <c r="U408" s="235"/>
      <c r="V408" s="235"/>
      <c r="W408" s="235"/>
      <c r="X408" s="235"/>
      <c r="Y408" s="235"/>
      <c r="Z408" s="235"/>
      <c r="AA408" s="235"/>
    </row>
    <row r="409" spans="1:27" ht="10.5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61"/>
      <c r="L409" s="235"/>
      <c r="M409" s="235"/>
      <c r="N409" s="235"/>
      <c r="O409" s="235"/>
      <c r="P409" s="235"/>
      <c r="Q409" s="298"/>
      <c r="R409" s="234"/>
      <c r="S409" s="235"/>
      <c r="T409" s="235"/>
      <c r="U409" s="235"/>
      <c r="V409" s="235"/>
      <c r="W409" s="235"/>
      <c r="X409" s="235"/>
      <c r="Y409" s="235"/>
      <c r="Z409" s="235"/>
      <c r="AA409" s="235"/>
    </row>
    <row r="410" spans="1:27" ht="10.5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61"/>
      <c r="L410" s="235"/>
      <c r="M410" s="235"/>
      <c r="N410" s="235"/>
      <c r="O410" s="235"/>
      <c r="P410" s="235"/>
      <c r="Q410" s="298"/>
      <c r="R410" s="234"/>
      <c r="S410" s="235"/>
      <c r="T410" s="235"/>
      <c r="U410" s="235"/>
      <c r="V410" s="235"/>
      <c r="W410" s="235"/>
      <c r="X410" s="235"/>
      <c r="Y410" s="235"/>
      <c r="Z410" s="235"/>
      <c r="AA410" s="235"/>
    </row>
    <row r="411" spans="1:27" ht="10.5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61"/>
      <c r="L411" s="235"/>
      <c r="M411" s="235"/>
      <c r="N411" s="235"/>
      <c r="O411" s="235"/>
      <c r="P411" s="235"/>
      <c r="Q411" s="298"/>
      <c r="R411" s="234"/>
      <c r="S411" s="235"/>
      <c r="T411" s="235"/>
      <c r="U411" s="235"/>
      <c r="V411" s="235"/>
      <c r="W411" s="235"/>
      <c r="X411" s="235"/>
      <c r="Y411" s="235"/>
      <c r="Z411" s="235"/>
      <c r="AA411" s="235"/>
    </row>
    <row r="412" spans="1:27" ht="10.5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61"/>
      <c r="L412" s="235"/>
      <c r="M412" s="235"/>
      <c r="N412" s="235"/>
      <c r="O412" s="235"/>
      <c r="P412" s="235"/>
      <c r="Q412" s="298"/>
      <c r="R412" s="234"/>
      <c r="S412" s="235"/>
      <c r="T412" s="235"/>
      <c r="U412" s="235"/>
      <c r="V412" s="235"/>
      <c r="W412" s="235"/>
      <c r="X412" s="235"/>
      <c r="Y412" s="235"/>
      <c r="Z412" s="235"/>
      <c r="AA412" s="235"/>
    </row>
    <row r="413" spans="1:27" ht="10.5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61"/>
      <c r="L413" s="235"/>
      <c r="M413" s="235"/>
      <c r="N413" s="235"/>
      <c r="O413" s="235"/>
      <c r="P413" s="235"/>
      <c r="Q413" s="298"/>
      <c r="R413" s="234"/>
      <c r="S413" s="235"/>
      <c r="T413" s="235"/>
      <c r="U413" s="235"/>
      <c r="V413" s="235"/>
      <c r="W413" s="235"/>
      <c r="X413" s="235"/>
      <c r="Y413" s="235"/>
      <c r="Z413" s="235"/>
      <c r="AA413" s="235"/>
    </row>
    <row r="414" spans="1:27" ht="10.5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61"/>
      <c r="L414" s="235"/>
      <c r="M414" s="235"/>
      <c r="N414" s="235"/>
      <c r="O414" s="235"/>
      <c r="P414" s="235"/>
      <c r="Q414" s="298"/>
      <c r="R414" s="234"/>
      <c r="S414" s="235"/>
      <c r="T414" s="235"/>
      <c r="U414" s="235"/>
      <c r="V414" s="235"/>
      <c r="W414" s="235"/>
      <c r="X414" s="235"/>
      <c r="Y414" s="235"/>
      <c r="Z414" s="235"/>
      <c r="AA414" s="235"/>
    </row>
    <row r="415" spans="1:27" ht="10.5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61"/>
      <c r="L415" s="235"/>
      <c r="M415" s="235"/>
      <c r="N415" s="235"/>
      <c r="O415" s="235"/>
      <c r="P415" s="235"/>
      <c r="Q415" s="298"/>
      <c r="R415" s="234"/>
      <c r="S415" s="235"/>
      <c r="T415" s="235"/>
      <c r="U415" s="235"/>
      <c r="V415" s="235"/>
      <c r="W415" s="235"/>
      <c r="X415" s="235"/>
      <c r="Y415" s="235"/>
      <c r="Z415" s="235"/>
      <c r="AA415" s="235"/>
    </row>
    <row r="416" spans="1:27" ht="10.5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61"/>
      <c r="L416" s="235"/>
      <c r="M416" s="235"/>
      <c r="N416" s="235"/>
      <c r="O416" s="235"/>
      <c r="P416" s="235"/>
      <c r="Q416" s="298"/>
      <c r="R416" s="234"/>
      <c r="S416" s="235"/>
      <c r="T416" s="235"/>
      <c r="U416" s="235"/>
      <c r="V416" s="235"/>
      <c r="W416" s="235"/>
      <c r="X416" s="235"/>
      <c r="Y416" s="235"/>
      <c r="Z416" s="235"/>
      <c r="AA416" s="235"/>
    </row>
    <row r="417" spans="1:27" ht="10.5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61"/>
      <c r="L417" s="235"/>
      <c r="M417" s="235"/>
      <c r="N417" s="235"/>
      <c r="O417" s="235"/>
      <c r="P417" s="235"/>
      <c r="Q417" s="298"/>
      <c r="R417" s="234"/>
      <c r="S417" s="235"/>
      <c r="T417" s="235"/>
      <c r="U417" s="235"/>
      <c r="V417" s="235"/>
      <c r="W417" s="235"/>
      <c r="X417" s="235"/>
      <c r="Y417" s="235"/>
      <c r="Z417" s="235"/>
      <c r="AA417" s="235"/>
    </row>
    <row r="418" spans="1:27" ht="10.5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61"/>
      <c r="L418" s="235"/>
      <c r="M418" s="235"/>
      <c r="N418" s="235"/>
      <c r="O418" s="235"/>
      <c r="P418" s="235"/>
      <c r="Q418" s="298"/>
      <c r="R418" s="234"/>
      <c r="S418" s="235"/>
      <c r="T418" s="235"/>
      <c r="U418" s="235"/>
      <c r="V418" s="235"/>
      <c r="W418" s="235"/>
      <c r="X418" s="235"/>
      <c r="Y418" s="235"/>
      <c r="Z418" s="235"/>
      <c r="AA418" s="235"/>
    </row>
    <row r="419" spans="1:27" ht="10.5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61"/>
      <c r="L419" s="235"/>
      <c r="M419" s="235"/>
      <c r="N419" s="235"/>
      <c r="O419" s="235"/>
      <c r="P419" s="235"/>
      <c r="Q419" s="298"/>
      <c r="R419" s="234"/>
      <c r="S419" s="235"/>
      <c r="T419" s="235"/>
      <c r="U419" s="235"/>
      <c r="V419" s="235"/>
      <c r="W419" s="235"/>
      <c r="X419" s="235"/>
      <c r="Y419" s="235"/>
      <c r="Z419" s="235"/>
      <c r="AA419" s="235"/>
    </row>
    <row r="420" spans="1:27" ht="10.5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61"/>
      <c r="L420" s="235"/>
      <c r="M420" s="235"/>
      <c r="N420" s="235"/>
      <c r="O420" s="235"/>
      <c r="P420" s="235"/>
      <c r="Q420" s="298"/>
      <c r="R420" s="234"/>
      <c r="S420" s="235"/>
      <c r="T420" s="235"/>
      <c r="U420" s="235"/>
      <c r="V420" s="235"/>
      <c r="W420" s="235"/>
      <c r="X420" s="235"/>
      <c r="Y420" s="235"/>
      <c r="Z420" s="235"/>
      <c r="AA420" s="235"/>
    </row>
    <row r="421" spans="1:27" ht="10.5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61"/>
      <c r="L421" s="235"/>
      <c r="M421" s="235"/>
      <c r="N421" s="235"/>
      <c r="O421" s="235"/>
      <c r="P421" s="235"/>
      <c r="Q421" s="298"/>
      <c r="R421" s="234"/>
      <c r="S421" s="235"/>
      <c r="T421" s="235"/>
      <c r="U421" s="235"/>
      <c r="V421" s="235"/>
      <c r="W421" s="235"/>
      <c r="X421" s="235"/>
      <c r="Y421" s="235"/>
      <c r="Z421" s="235"/>
      <c r="AA421" s="235"/>
    </row>
    <row r="422" spans="1:27" ht="10.5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61"/>
      <c r="L422" s="235"/>
      <c r="M422" s="235"/>
      <c r="N422" s="235"/>
      <c r="O422" s="235"/>
      <c r="P422" s="235"/>
      <c r="Q422" s="298"/>
      <c r="R422" s="234"/>
      <c r="S422" s="235"/>
      <c r="T422" s="235"/>
      <c r="U422" s="235"/>
      <c r="V422" s="235"/>
      <c r="W422" s="235"/>
      <c r="X422" s="235"/>
      <c r="Y422" s="235"/>
      <c r="Z422" s="235"/>
      <c r="AA422" s="235"/>
    </row>
    <row r="423" spans="1:27" ht="10.5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61"/>
      <c r="L423" s="235"/>
      <c r="M423" s="235"/>
      <c r="N423" s="235"/>
      <c r="O423" s="235"/>
      <c r="P423" s="235"/>
      <c r="Q423" s="298"/>
      <c r="R423" s="234"/>
      <c r="S423" s="235"/>
      <c r="T423" s="235"/>
      <c r="U423" s="235"/>
      <c r="V423" s="235"/>
      <c r="W423" s="235"/>
      <c r="X423" s="235"/>
      <c r="Y423" s="235"/>
      <c r="Z423" s="235"/>
      <c r="AA423" s="235"/>
    </row>
    <row r="424" spans="1:27" ht="10.5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61"/>
      <c r="L424" s="235"/>
      <c r="M424" s="235"/>
      <c r="N424" s="235"/>
      <c r="O424" s="235"/>
      <c r="P424" s="235"/>
      <c r="Q424" s="298"/>
      <c r="R424" s="234"/>
      <c r="S424" s="235"/>
      <c r="T424" s="235"/>
      <c r="U424" s="235"/>
      <c r="V424" s="235"/>
      <c r="W424" s="235"/>
      <c r="X424" s="235"/>
      <c r="Y424" s="235"/>
      <c r="Z424" s="235"/>
      <c r="AA424" s="235"/>
    </row>
    <row r="425" spans="1:27" ht="10.5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61"/>
      <c r="L425" s="235"/>
      <c r="M425" s="235"/>
      <c r="N425" s="235"/>
      <c r="O425" s="235"/>
      <c r="P425" s="235"/>
      <c r="Q425" s="298"/>
      <c r="R425" s="234"/>
      <c r="S425" s="235"/>
      <c r="T425" s="235"/>
      <c r="U425" s="235"/>
      <c r="V425" s="235"/>
      <c r="W425" s="235"/>
      <c r="X425" s="235"/>
      <c r="Y425" s="235"/>
      <c r="Z425" s="235"/>
      <c r="AA425" s="235"/>
    </row>
    <row r="426" spans="1:27" ht="10.5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61"/>
      <c r="L426" s="235"/>
      <c r="M426" s="235"/>
      <c r="N426" s="235"/>
      <c r="O426" s="235"/>
      <c r="P426" s="235"/>
      <c r="Q426" s="298"/>
      <c r="R426" s="234"/>
      <c r="S426" s="235"/>
      <c r="T426" s="235"/>
      <c r="U426" s="235"/>
      <c r="V426" s="235"/>
      <c r="W426" s="235"/>
      <c r="X426" s="235"/>
      <c r="Y426" s="235"/>
      <c r="Z426" s="235"/>
      <c r="AA426" s="235"/>
    </row>
    <row r="427" spans="1:27" ht="10.5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61"/>
      <c r="L427" s="235"/>
      <c r="M427" s="235"/>
      <c r="N427" s="235"/>
      <c r="O427" s="235"/>
      <c r="P427" s="235"/>
      <c r="Q427" s="298"/>
      <c r="R427" s="234"/>
      <c r="S427" s="235"/>
      <c r="T427" s="235"/>
      <c r="U427" s="235"/>
      <c r="V427" s="235"/>
      <c r="W427" s="235"/>
      <c r="X427" s="235"/>
      <c r="Y427" s="235"/>
      <c r="Z427" s="235"/>
      <c r="AA427" s="235"/>
    </row>
    <row r="428" spans="1:27" ht="10.5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61"/>
      <c r="L428" s="235"/>
      <c r="M428" s="235"/>
      <c r="N428" s="235"/>
      <c r="O428" s="235"/>
      <c r="P428" s="235"/>
      <c r="Q428" s="298"/>
      <c r="R428" s="234"/>
      <c r="S428" s="235"/>
      <c r="T428" s="235"/>
      <c r="U428" s="235"/>
      <c r="V428" s="235"/>
      <c r="W428" s="235"/>
      <c r="X428" s="235"/>
      <c r="Y428" s="235"/>
      <c r="Z428" s="235"/>
      <c r="AA428" s="235"/>
    </row>
    <row r="429" spans="1:27" ht="10.5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61"/>
      <c r="L429" s="235"/>
      <c r="M429" s="235"/>
      <c r="N429" s="235"/>
      <c r="O429" s="235"/>
      <c r="P429" s="235"/>
      <c r="Q429" s="298"/>
      <c r="R429" s="234"/>
      <c r="S429" s="235"/>
      <c r="T429" s="235"/>
      <c r="U429" s="235"/>
      <c r="V429" s="235"/>
      <c r="W429" s="235"/>
      <c r="X429" s="235"/>
      <c r="Y429" s="235"/>
      <c r="Z429" s="235"/>
      <c r="AA429" s="235"/>
    </row>
    <row r="430" spans="1:27" ht="10.5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61"/>
      <c r="L430" s="235"/>
      <c r="M430" s="235"/>
      <c r="N430" s="235"/>
      <c r="O430" s="235"/>
      <c r="P430" s="235"/>
      <c r="Q430" s="298"/>
      <c r="R430" s="234"/>
      <c r="S430" s="235"/>
      <c r="T430" s="235"/>
      <c r="U430" s="235"/>
      <c r="V430" s="235"/>
      <c r="W430" s="235"/>
      <c r="X430" s="235"/>
      <c r="Y430" s="235"/>
      <c r="Z430" s="235"/>
      <c r="AA430" s="235"/>
    </row>
    <row r="431" spans="1:27" ht="10.5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61"/>
      <c r="L431" s="235"/>
      <c r="M431" s="235"/>
      <c r="N431" s="235"/>
      <c r="O431" s="235"/>
      <c r="P431" s="235"/>
      <c r="Q431" s="298"/>
      <c r="R431" s="234"/>
      <c r="S431" s="235"/>
      <c r="T431" s="235"/>
      <c r="U431" s="235"/>
      <c r="V431" s="235"/>
      <c r="W431" s="235"/>
      <c r="X431" s="235"/>
      <c r="Y431" s="235"/>
      <c r="Z431" s="235"/>
      <c r="AA431" s="235"/>
    </row>
    <row r="432" spans="1:27" ht="10.5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61"/>
      <c r="L432" s="235"/>
      <c r="M432" s="235"/>
      <c r="N432" s="235"/>
      <c r="O432" s="235"/>
      <c r="P432" s="235"/>
      <c r="Q432" s="298"/>
      <c r="R432" s="234"/>
      <c r="S432" s="235"/>
      <c r="T432" s="235"/>
      <c r="U432" s="235"/>
      <c r="V432" s="235"/>
      <c r="W432" s="235"/>
      <c r="X432" s="235"/>
      <c r="Y432" s="235"/>
      <c r="Z432" s="235"/>
      <c r="AA432" s="235"/>
    </row>
    <row r="433" spans="1:27" ht="10.5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61"/>
      <c r="L433" s="235"/>
      <c r="M433" s="235"/>
      <c r="N433" s="235"/>
      <c r="O433" s="235"/>
      <c r="P433" s="235"/>
      <c r="Q433" s="298"/>
      <c r="R433" s="234"/>
      <c r="S433" s="235"/>
      <c r="T433" s="235"/>
      <c r="U433" s="235"/>
      <c r="V433" s="235"/>
      <c r="W433" s="235"/>
      <c r="X433" s="235"/>
      <c r="Y433" s="235"/>
      <c r="Z433" s="235"/>
      <c r="AA433" s="235"/>
    </row>
    <row r="434" spans="1:27" ht="10.5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61"/>
      <c r="L434" s="235"/>
      <c r="M434" s="235"/>
      <c r="N434" s="235"/>
      <c r="O434" s="235"/>
      <c r="P434" s="235"/>
      <c r="Q434" s="298"/>
      <c r="R434" s="234"/>
      <c r="S434" s="235"/>
      <c r="T434" s="235"/>
      <c r="U434" s="235"/>
      <c r="V434" s="235"/>
      <c r="W434" s="235"/>
      <c r="X434" s="235"/>
      <c r="Y434" s="235"/>
      <c r="Z434" s="235"/>
      <c r="AA434" s="235"/>
    </row>
    <row r="435" spans="1:27" ht="10.5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61"/>
      <c r="L435" s="235"/>
      <c r="M435" s="235"/>
      <c r="N435" s="235"/>
      <c r="O435" s="235"/>
      <c r="P435" s="235"/>
      <c r="Q435" s="298"/>
      <c r="R435" s="234"/>
      <c r="S435" s="235"/>
      <c r="T435" s="235"/>
      <c r="U435" s="235"/>
      <c r="V435" s="235"/>
      <c r="W435" s="235"/>
      <c r="X435" s="235"/>
      <c r="Y435" s="235"/>
      <c r="Z435" s="235"/>
      <c r="AA435" s="235"/>
    </row>
    <row r="436" spans="1:27" ht="10.5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61"/>
      <c r="L436" s="235"/>
      <c r="M436" s="235"/>
      <c r="N436" s="235"/>
      <c r="O436" s="235"/>
      <c r="P436" s="235"/>
      <c r="Q436" s="298"/>
      <c r="R436" s="234"/>
      <c r="S436" s="235"/>
      <c r="T436" s="235"/>
      <c r="U436" s="235"/>
      <c r="V436" s="235"/>
      <c r="W436" s="235"/>
      <c r="X436" s="235"/>
      <c r="Y436" s="235"/>
      <c r="Z436" s="235"/>
      <c r="AA436" s="235"/>
    </row>
    <row r="437" spans="1:27" ht="10.5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61"/>
      <c r="L437" s="235"/>
      <c r="M437" s="235"/>
      <c r="N437" s="235"/>
      <c r="O437" s="235"/>
      <c r="P437" s="235"/>
      <c r="Q437" s="298"/>
      <c r="R437" s="234"/>
      <c r="S437" s="235"/>
      <c r="T437" s="235"/>
      <c r="U437" s="235"/>
      <c r="V437" s="235"/>
      <c r="W437" s="235"/>
      <c r="X437" s="235"/>
      <c r="Y437" s="235"/>
      <c r="Z437" s="235"/>
      <c r="AA437" s="235"/>
    </row>
    <row r="438" spans="1:27" ht="10.5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61"/>
      <c r="L438" s="235"/>
      <c r="M438" s="235"/>
      <c r="N438" s="235"/>
      <c r="O438" s="235"/>
      <c r="P438" s="235"/>
      <c r="Q438" s="298"/>
      <c r="R438" s="234"/>
      <c r="S438" s="235"/>
      <c r="T438" s="235"/>
      <c r="U438" s="235"/>
      <c r="V438" s="235"/>
      <c r="W438" s="235"/>
      <c r="X438" s="235"/>
      <c r="Y438" s="235"/>
      <c r="Z438" s="235"/>
      <c r="AA438" s="235"/>
    </row>
    <row r="439" spans="1:27" ht="10.5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61"/>
      <c r="L439" s="235"/>
      <c r="M439" s="235"/>
      <c r="N439" s="235"/>
      <c r="O439" s="235"/>
      <c r="P439" s="235"/>
      <c r="Q439" s="298"/>
      <c r="R439" s="234"/>
      <c r="S439" s="235"/>
      <c r="T439" s="235"/>
      <c r="U439" s="235"/>
      <c r="V439" s="235"/>
      <c r="W439" s="235"/>
      <c r="X439" s="235"/>
      <c r="Y439" s="235"/>
      <c r="Z439" s="235"/>
      <c r="AA439" s="235"/>
    </row>
    <row r="440" spans="1:27" ht="10.5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61"/>
      <c r="L440" s="235"/>
      <c r="M440" s="235"/>
      <c r="N440" s="235"/>
      <c r="O440" s="235"/>
      <c r="P440" s="235"/>
      <c r="Q440" s="298"/>
      <c r="R440" s="234"/>
      <c r="S440" s="235"/>
      <c r="T440" s="235"/>
      <c r="U440" s="235"/>
      <c r="V440" s="235"/>
      <c r="W440" s="235"/>
      <c r="X440" s="235"/>
      <c r="Y440" s="235"/>
      <c r="Z440" s="235"/>
      <c r="AA440" s="235"/>
    </row>
    <row r="441" spans="1:27" ht="10.5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61"/>
      <c r="L441" s="235"/>
      <c r="M441" s="235"/>
      <c r="N441" s="235"/>
      <c r="O441" s="235"/>
      <c r="P441" s="235"/>
      <c r="Q441" s="298"/>
      <c r="R441" s="234"/>
      <c r="S441" s="235"/>
      <c r="T441" s="235"/>
      <c r="U441" s="235"/>
      <c r="V441" s="235"/>
      <c r="W441" s="235"/>
      <c r="X441" s="235"/>
      <c r="Y441" s="235"/>
      <c r="Z441" s="235"/>
      <c r="AA441" s="235"/>
    </row>
    <row r="442" spans="1:27" ht="10.5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61"/>
      <c r="L442" s="235"/>
      <c r="M442" s="235"/>
      <c r="N442" s="235"/>
      <c r="O442" s="235"/>
      <c r="P442" s="235"/>
      <c r="Q442" s="298"/>
      <c r="R442" s="234"/>
      <c r="S442" s="235"/>
      <c r="T442" s="235"/>
      <c r="U442" s="235"/>
      <c r="V442" s="235"/>
      <c r="W442" s="235"/>
      <c r="X442" s="235"/>
      <c r="Y442" s="235"/>
      <c r="Z442" s="235"/>
      <c r="AA442" s="235"/>
    </row>
    <row r="443" spans="1:27" ht="10.5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61"/>
      <c r="L443" s="235"/>
      <c r="M443" s="235"/>
      <c r="N443" s="235"/>
      <c r="O443" s="235"/>
      <c r="P443" s="235"/>
      <c r="Q443" s="298"/>
      <c r="R443" s="234"/>
      <c r="S443" s="235"/>
      <c r="T443" s="235"/>
      <c r="U443" s="235"/>
      <c r="V443" s="235"/>
      <c r="W443" s="235"/>
      <c r="X443" s="235"/>
      <c r="Y443" s="235"/>
      <c r="Z443" s="235"/>
      <c r="AA443" s="235"/>
    </row>
    <row r="444" spans="1:27" ht="10.5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61"/>
      <c r="L444" s="235"/>
      <c r="M444" s="235"/>
      <c r="N444" s="235"/>
      <c r="O444" s="235"/>
      <c r="P444" s="235"/>
      <c r="Q444" s="298"/>
      <c r="R444" s="234"/>
      <c r="S444" s="235"/>
      <c r="T444" s="235"/>
      <c r="U444" s="235"/>
      <c r="V444" s="235"/>
      <c r="W444" s="235"/>
      <c r="X444" s="235"/>
      <c r="Y444" s="235"/>
      <c r="Z444" s="235"/>
      <c r="AA444" s="235"/>
    </row>
    <row r="445" spans="1:27" ht="10.5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61"/>
      <c r="L445" s="235"/>
      <c r="M445" s="235"/>
      <c r="N445" s="235"/>
      <c r="O445" s="235"/>
      <c r="P445" s="235"/>
      <c r="Q445" s="298"/>
      <c r="R445" s="234"/>
      <c r="S445" s="235"/>
      <c r="T445" s="235"/>
      <c r="U445" s="235"/>
      <c r="V445" s="235"/>
      <c r="W445" s="235"/>
      <c r="X445" s="235"/>
      <c r="Y445" s="235"/>
      <c r="Z445" s="235"/>
      <c r="AA445" s="235"/>
    </row>
    <row r="446" spans="1:27" ht="10.5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61"/>
      <c r="L446" s="235"/>
      <c r="M446" s="235"/>
      <c r="N446" s="235"/>
      <c r="O446" s="235"/>
      <c r="P446" s="235"/>
      <c r="Q446" s="298"/>
      <c r="R446" s="234"/>
      <c r="S446" s="235"/>
      <c r="T446" s="235"/>
      <c r="U446" s="235"/>
      <c r="V446" s="235"/>
      <c r="W446" s="235"/>
      <c r="X446" s="235"/>
      <c r="Y446" s="235"/>
      <c r="Z446" s="235"/>
      <c r="AA446" s="235"/>
    </row>
    <row r="447" spans="1:27" ht="10.5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61"/>
      <c r="L447" s="235"/>
      <c r="M447" s="235"/>
      <c r="N447" s="235"/>
      <c r="O447" s="235"/>
      <c r="P447" s="235"/>
      <c r="Q447" s="298"/>
      <c r="R447" s="234"/>
      <c r="S447" s="235"/>
      <c r="T447" s="235"/>
      <c r="U447" s="235"/>
      <c r="V447" s="235"/>
      <c r="W447" s="235"/>
      <c r="X447" s="235"/>
      <c r="Y447" s="235"/>
      <c r="Z447" s="235"/>
      <c r="AA447" s="235"/>
    </row>
    <row r="448" spans="1:27" ht="10.5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61"/>
      <c r="L448" s="235"/>
      <c r="M448" s="235"/>
      <c r="N448" s="235"/>
      <c r="O448" s="235"/>
      <c r="P448" s="235"/>
      <c r="Q448" s="298"/>
      <c r="R448" s="234"/>
      <c r="S448" s="235"/>
      <c r="T448" s="235"/>
      <c r="U448" s="235"/>
      <c r="V448" s="235"/>
      <c r="W448" s="235"/>
      <c r="X448" s="235"/>
      <c r="Y448" s="235"/>
      <c r="Z448" s="235"/>
      <c r="AA448" s="235"/>
    </row>
    <row r="449" spans="1:27" ht="10.5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61"/>
      <c r="L449" s="235"/>
      <c r="M449" s="235"/>
      <c r="N449" s="235"/>
      <c r="O449" s="235"/>
      <c r="P449" s="235"/>
      <c r="Q449" s="298"/>
      <c r="R449" s="234"/>
      <c r="S449" s="235"/>
      <c r="T449" s="235"/>
      <c r="U449" s="235"/>
      <c r="V449" s="235"/>
      <c r="W449" s="235"/>
      <c r="X449" s="235"/>
      <c r="Y449" s="235"/>
      <c r="Z449" s="235"/>
      <c r="AA449" s="235"/>
    </row>
    <row r="450" spans="1:27" ht="10.5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61"/>
      <c r="L450" s="235"/>
      <c r="M450" s="235"/>
      <c r="N450" s="235"/>
      <c r="O450" s="235"/>
      <c r="P450" s="235"/>
      <c r="Q450" s="298"/>
      <c r="R450" s="234"/>
      <c r="S450" s="235"/>
      <c r="T450" s="235"/>
      <c r="U450" s="235"/>
      <c r="V450" s="235"/>
      <c r="W450" s="235"/>
      <c r="X450" s="235"/>
      <c r="Y450" s="235"/>
      <c r="Z450" s="235"/>
      <c r="AA450" s="235"/>
    </row>
    <row r="451" spans="1:27" ht="10.5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61"/>
      <c r="L451" s="235"/>
      <c r="M451" s="235"/>
      <c r="N451" s="235"/>
      <c r="O451" s="235"/>
      <c r="P451" s="235"/>
      <c r="Q451" s="298"/>
      <c r="R451" s="234"/>
      <c r="S451" s="235"/>
      <c r="T451" s="235"/>
      <c r="U451" s="235"/>
      <c r="V451" s="235"/>
      <c r="W451" s="235"/>
      <c r="X451" s="235"/>
      <c r="Y451" s="235"/>
      <c r="Z451" s="235"/>
      <c r="AA451" s="235"/>
    </row>
    <row r="452" spans="1:27" ht="10.5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61"/>
      <c r="L452" s="235"/>
      <c r="M452" s="235"/>
      <c r="N452" s="235"/>
      <c r="O452" s="235"/>
      <c r="P452" s="235"/>
      <c r="Q452" s="298"/>
      <c r="R452" s="234"/>
      <c r="S452" s="235"/>
      <c r="T452" s="235"/>
      <c r="U452" s="235"/>
      <c r="V452" s="235"/>
      <c r="W452" s="235"/>
      <c r="X452" s="235"/>
      <c r="Y452" s="235"/>
      <c r="Z452" s="235"/>
      <c r="AA452" s="235"/>
    </row>
    <row r="453" spans="1:27" ht="10.5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61"/>
      <c r="L453" s="235"/>
      <c r="M453" s="235"/>
      <c r="N453" s="235"/>
      <c r="O453" s="235"/>
      <c r="P453" s="235"/>
      <c r="Q453" s="298"/>
      <c r="R453" s="234"/>
      <c r="S453" s="235"/>
      <c r="T453" s="235"/>
      <c r="U453" s="235"/>
      <c r="V453" s="235"/>
      <c r="W453" s="235"/>
      <c r="X453" s="235"/>
      <c r="Y453" s="235"/>
      <c r="Z453" s="235"/>
      <c r="AA453" s="235"/>
    </row>
    <row r="454" spans="1:27" ht="10.5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61"/>
      <c r="L454" s="235"/>
      <c r="M454" s="235"/>
      <c r="N454" s="235"/>
      <c r="O454" s="235"/>
      <c r="P454" s="235"/>
      <c r="Q454" s="298"/>
      <c r="R454" s="234"/>
      <c r="S454" s="235"/>
      <c r="T454" s="235"/>
      <c r="U454" s="235"/>
      <c r="V454" s="235"/>
      <c r="W454" s="235"/>
      <c r="X454" s="235"/>
      <c r="Y454" s="235"/>
      <c r="Z454" s="235"/>
      <c r="AA454" s="235"/>
    </row>
    <row r="455" spans="1:27" ht="10.5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61"/>
      <c r="L455" s="235"/>
      <c r="M455" s="235"/>
      <c r="N455" s="235"/>
      <c r="O455" s="235"/>
      <c r="P455" s="235"/>
      <c r="Q455" s="298"/>
      <c r="R455" s="234"/>
      <c r="S455" s="235"/>
      <c r="T455" s="235"/>
      <c r="U455" s="235"/>
      <c r="V455" s="235"/>
      <c r="W455" s="235"/>
      <c r="X455" s="235"/>
      <c r="Y455" s="235"/>
      <c r="Z455" s="235"/>
      <c r="AA455" s="235"/>
    </row>
    <row r="456" spans="1:27" ht="10.5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61"/>
      <c r="L456" s="235"/>
      <c r="M456" s="235"/>
      <c r="N456" s="235"/>
      <c r="O456" s="235"/>
      <c r="P456" s="235"/>
      <c r="Q456" s="298"/>
      <c r="R456" s="234"/>
      <c r="S456" s="235"/>
      <c r="T456" s="235"/>
      <c r="U456" s="235"/>
      <c r="V456" s="235"/>
      <c r="W456" s="235"/>
      <c r="X456" s="235"/>
      <c r="Y456" s="235"/>
      <c r="Z456" s="235"/>
      <c r="AA456" s="235"/>
    </row>
    <row r="457" spans="1:27" ht="10.5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61"/>
      <c r="L457" s="235"/>
      <c r="M457" s="235"/>
      <c r="N457" s="235"/>
      <c r="O457" s="235"/>
      <c r="P457" s="235"/>
      <c r="Q457" s="298"/>
      <c r="R457" s="234"/>
      <c r="S457" s="235"/>
      <c r="T457" s="235"/>
      <c r="U457" s="235"/>
      <c r="V457" s="235"/>
      <c r="W457" s="235"/>
      <c r="X457" s="235"/>
      <c r="Y457" s="235"/>
      <c r="Z457" s="235"/>
      <c r="AA457" s="235"/>
    </row>
    <row r="458" spans="1:27" ht="10.5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61"/>
      <c r="L458" s="235"/>
      <c r="M458" s="235"/>
      <c r="N458" s="235"/>
      <c r="O458" s="235"/>
      <c r="P458" s="235"/>
      <c r="Q458" s="298"/>
      <c r="R458" s="234"/>
      <c r="S458" s="235"/>
      <c r="T458" s="235"/>
      <c r="U458" s="235"/>
      <c r="V458" s="235"/>
      <c r="W458" s="235"/>
      <c r="X458" s="235"/>
      <c r="Y458" s="235"/>
      <c r="Z458" s="235"/>
      <c r="AA458" s="235"/>
    </row>
    <row r="459" spans="1:27" ht="10.5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61"/>
      <c r="L459" s="235"/>
      <c r="M459" s="235"/>
      <c r="N459" s="235"/>
      <c r="O459" s="235"/>
      <c r="P459" s="235"/>
      <c r="Q459" s="298"/>
      <c r="R459" s="234"/>
      <c r="S459" s="235"/>
      <c r="T459" s="235"/>
      <c r="U459" s="235"/>
      <c r="V459" s="235"/>
      <c r="W459" s="235"/>
      <c r="X459" s="235"/>
      <c r="Y459" s="235"/>
      <c r="Z459" s="235"/>
      <c r="AA459" s="235"/>
    </row>
    <row r="460" spans="1:27" ht="10.5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61"/>
      <c r="L460" s="235"/>
      <c r="M460" s="235"/>
      <c r="N460" s="235"/>
      <c r="O460" s="235"/>
      <c r="P460" s="235"/>
      <c r="Q460" s="298"/>
      <c r="R460" s="234"/>
      <c r="S460" s="235"/>
      <c r="T460" s="235"/>
      <c r="U460" s="235"/>
      <c r="V460" s="235"/>
      <c r="W460" s="235"/>
      <c r="X460" s="235"/>
      <c r="Y460" s="235"/>
      <c r="Z460" s="235"/>
      <c r="AA460" s="235"/>
    </row>
    <row r="461" spans="1:27" ht="10.5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61"/>
      <c r="L461" s="235"/>
      <c r="M461" s="235"/>
      <c r="N461" s="235"/>
      <c r="O461" s="235"/>
      <c r="P461" s="235"/>
      <c r="Q461" s="298"/>
      <c r="R461" s="234"/>
      <c r="S461" s="235"/>
      <c r="T461" s="235"/>
      <c r="U461" s="235"/>
      <c r="V461" s="235"/>
      <c r="W461" s="235"/>
      <c r="X461" s="235"/>
      <c r="Y461" s="235"/>
      <c r="Z461" s="235"/>
      <c r="AA461" s="235"/>
    </row>
    <row r="462" spans="1:27" ht="10.5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61"/>
      <c r="L462" s="235"/>
      <c r="M462" s="235"/>
      <c r="N462" s="235"/>
      <c r="O462" s="235"/>
      <c r="P462" s="235"/>
      <c r="Q462" s="298"/>
      <c r="R462" s="234"/>
      <c r="S462" s="235"/>
      <c r="T462" s="235"/>
      <c r="U462" s="235"/>
      <c r="V462" s="235"/>
      <c r="W462" s="235"/>
      <c r="X462" s="235"/>
      <c r="Y462" s="235"/>
      <c r="Z462" s="235"/>
      <c r="AA462" s="235"/>
    </row>
    <row r="463" spans="1:27" ht="10.5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61"/>
      <c r="L463" s="235"/>
      <c r="M463" s="235"/>
      <c r="N463" s="235"/>
      <c r="O463" s="235"/>
      <c r="P463" s="235"/>
      <c r="Q463" s="298"/>
      <c r="R463" s="234"/>
      <c r="S463" s="235"/>
      <c r="T463" s="235"/>
      <c r="U463" s="235"/>
      <c r="V463" s="235"/>
      <c r="W463" s="235"/>
      <c r="X463" s="235"/>
      <c r="Y463" s="235"/>
      <c r="Z463" s="235"/>
      <c r="AA463" s="235"/>
    </row>
    <row r="464" spans="1:27" ht="10.5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61"/>
      <c r="L464" s="235"/>
      <c r="M464" s="235"/>
      <c r="N464" s="235"/>
      <c r="O464" s="235"/>
      <c r="P464" s="235"/>
      <c r="Q464" s="298"/>
      <c r="R464" s="234"/>
      <c r="S464" s="235"/>
      <c r="T464" s="235"/>
      <c r="U464" s="235"/>
      <c r="V464" s="235"/>
      <c r="W464" s="235"/>
      <c r="X464" s="235"/>
      <c r="Y464" s="235"/>
      <c r="Z464" s="235"/>
      <c r="AA464" s="235"/>
    </row>
    <row r="465" spans="1:27" ht="10.5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61"/>
      <c r="L465" s="235"/>
      <c r="M465" s="235"/>
      <c r="N465" s="235"/>
      <c r="O465" s="235"/>
      <c r="P465" s="235"/>
      <c r="Q465" s="298"/>
      <c r="R465" s="234"/>
      <c r="S465" s="235"/>
      <c r="T465" s="235"/>
      <c r="U465" s="235"/>
      <c r="V465" s="235"/>
      <c r="W465" s="235"/>
      <c r="X465" s="235"/>
      <c r="Y465" s="235"/>
      <c r="Z465" s="235"/>
      <c r="AA465" s="235"/>
    </row>
    <row r="466" spans="1:27" ht="10.5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61"/>
      <c r="L466" s="235"/>
      <c r="M466" s="235"/>
      <c r="N466" s="235"/>
      <c r="O466" s="235"/>
      <c r="P466" s="235"/>
      <c r="Q466" s="298"/>
      <c r="R466" s="234"/>
      <c r="S466" s="235"/>
      <c r="T466" s="235"/>
      <c r="U466" s="235"/>
      <c r="V466" s="235"/>
      <c r="W466" s="235"/>
      <c r="X466" s="235"/>
      <c r="Y466" s="235"/>
      <c r="Z466" s="235"/>
      <c r="AA466" s="235"/>
    </row>
    <row r="467" spans="1:27" ht="10.5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61"/>
      <c r="L467" s="235"/>
      <c r="M467" s="235"/>
      <c r="N467" s="235"/>
      <c r="O467" s="235"/>
      <c r="P467" s="235"/>
      <c r="Q467" s="298"/>
      <c r="R467" s="234"/>
      <c r="S467" s="235"/>
      <c r="T467" s="235"/>
      <c r="U467" s="235"/>
      <c r="V467" s="235"/>
      <c r="W467" s="235"/>
      <c r="X467" s="235"/>
      <c r="Y467" s="235"/>
      <c r="Z467" s="235"/>
      <c r="AA467" s="235"/>
    </row>
    <row r="468" spans="1:27" ht="10.5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61"/>
      <c r="L468" s="235"/>
      <c r="M468" s="235"/>
      <c r="N468" s="235"/>
      <c r="O468" s="235"/>
      <c r="P468" s="235"/>
      <c r="Q468" s="298"/>
      <c r="R468" s="234"/>
      <c r="S468" s="235"/>
      <c r="T468" s="235"/>
      <c r="U468" s="235"/>
      <c r="V468" s="235"/>
      <c r="W468" s="235"/>
      <c r="X468" s="235"/>
      <c r="Y468" s="235"/>
      <c r="Z468" s="235"/>
      <c r="AA468" s="235"/>
    </row>
    <row r="469" spans="1:27" ht="10.5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61"/>
      <c r="L469" s="235"/>
      <c r="M469" s="235"/>
      <c r="N469" s="235"/>
      <c r="O469" s="235"/>
      <c r="P469" s="235"/>
      <c r="Q469" s="298"/>
      <c r="R469" s="234"/>
      <c r="S469" s="235"/>
      <c r="T469" s="235"/>
      <c r="U469" s="235"/>
      <c r="V469" s="235"/>
      <c r="W469" s="235"/>
      <c r="X469" s="235"/>
      <c r="Y469" s="235"/>
      <c r="Z469" s="235"/>
      <c r="AA469" s="235"/>
    </row>
    <row r="470" spans="1:27" ht="10.5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61"/>
      <c r="L470" s="235"/>
      <c r="M470" s="235"/>
      <c r="N470" s="235"/>
      <c r="O470" s="235"/>
      <c r="P470" s="235"/>
      <c r="Q470" s="298"/>
      <c r="R470" s="234"/>
      <c r="S470" s="235"/>
      <c r="T470" s="235"/>
      <c r="U470" s="235"/>
      <c r="V470" s="235"/>
      <c r="W470" s="235"/>
      <c r="X470" s="235"/>
      <c r="Y470" s="235"/>
      <c r="Z470" s="235"/>
      <c r="AA470" s="235"/>
    </row>
    <row r="471" spans="1:27" ht="10.5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61"/>
      <c r="L471" s="235"/>
      <c r="M471" s="235"/>
      <c r="N471" s="235"/>
      <c r="O471" s="235"/>
      <c r="P471" s="235"/>
      <c r="Q471" s="298"/>
      <c r="R471" s="234"/>
      <c r="S471" s="235"/>
      <c r="T471" s="235"/>
      <c r="U471" s="235"/>
      <c r="V471" s="235"/>
      <c r="W471" s="235"/>
      <c r="X471" s="235"/>
      <c r="Y471" s="235"/>
      <c r="Z471" s="235"/>
      <c r="AA471" s="235"/>
    </row>
    <row r="472" spans="1:27" ht="10.5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61"/>
      <c r="L472" s="235"/>
      <c r="M472" s="235"/>
      <c r="N472" s="235"/>
      <c r="O472" s="235"/>
      <c r="P472" s="235"/>
      <c r="Q472" s="298"/>
      <c r="R472" s="234"/>
      <c r="S472" s="235"/>
      <c r="T472" s="235"/>
      <c r="U472" s="235"/>
      <c r="V472" s="235"/>
      <c r="W472" s="235"/>
      <c r="X472" s="235"/>
      <c r="Y472" s="235"/>
      <c r="Z472" s="235"/>
      <c r="AA472" s="235"/>
    </row>
    <row r="473" spans="1:27" ht="10.5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61"/>
      <c r="L473" s="235"/>
      <c r="M473" s="235"/>
      <c r="N473" s="235"/>
      <c r="O473" s="235"/>
      <c r="P473" s="235"/>
      <c r="Q473" s="298"/>
      <c r="R473" s="234"/>
      <c r="S473" s="235"/>
      <c r="T473" s="235"/>
      <c r="U473" s="235"/>
      <c r="V473" s="235"/>
      <c r="W473" s="235"/>
      <c r="X473" s="235"/>
      <c r="Y473" s="235"/>
      <c r="Z473" s="235"/>
      <c r="AA473" s="235"/>
    </row>
    <row r="474" spans="1:27" ht="10.5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61"/>
      <c r="L474" s="235"/>
      <c r="M474" s="235"/>
      <c r="N474" s="235"/>
      <c r="O474" s="235"/>
      <c r="P474" s="235"/>
      <c r="Q474" s="298"/>
      <c r="R474" s="234"/>
      <c r="S474" s="235"/>
      <c r="T474" s="235"/>
      <c r="U474" s="235"/>
      <c r="V474" s="235"/>
      <c r="W474" s="235"/>
      <c r="X474" s="235"/>
      <c r="Y474" s="235"/>
      <c r="Z474" s="235"/>
      <c r="AA474" s="235"/>
    </row>
    <row r="475" spans="1:27" ht="10.5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61"/>
      <c r="L475" s="235"/>
      <c r="M475" s="235"/>
      <c r="N475" s="235"/>
      <c r="O475" s="235"/>
      <c r="P475" s="235"/>
      <c r="Q475" s="298"/>
      <c r="R475" s="234"/>
      <c r="S475" s="235"/>
      <c r="T475" s="235"/>
      <c r="U475" s="235"/>
      <c r="V475" s="235"/>
      <c r="W475" s="235"/>
      <c r="X475" s="235"/>
      <c r="Y475" s="235"/>
      <c r="Z475" s="235"/>
      <c r="AA475" s="235"/>
    </row>
    <row r="476" spans="1:27" ht="10.5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61"/>
      <c r="L476" s="235"/>
      <c r="M476" s="235"/>
      <c r="N476" s="235"/>
      <c r="O476" s="235"/>
      <c r="P476" s="235"/>
      <c r="Q476" s="298"/>
      <c r="R476" s="234"/>
      <c r="S476" s="235"/>
      <c r="T476" s="235"/>
      <c r="U476" s="235"/>
      <c r="V476" s="235"/>
      <c r="W476" s="235"/>
      <c r="X476" s="235"/>
      <c r="Y476" s="235"/>
      <c r="Z476" s="235"/>
      <c r="AA476" s="235"/>
    </row>
    <row r="477" spans="1:27" ht="10.5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61"/>
      <c r="L477" s="235"/>
      <c r="M477" s="235"/>
      <c r="N477" s="235"/>
      <c r="O477" s="235"/>
      <c r="P477" s="235"/>
      <c r="Q477" s="298"/>
      <c r="R477" s="234"/>
      <c r="S477" s="235"/>
      <c r="T477" s="235"/>
      <c r="U477" s="235"/>
      <c r="V477" s="235"/>
      <c r="W477" s="235"/>
      <c r="X477" s="235"/>
      <c r="Y477" s="235"/>
      <c r="Z477" s="235"/>
      <c r="AA477" s="235"/>
    </row>
    <row r="478" spans="1:27" ht="10.5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61"/>
      <c r="L478" s="235"/>
      <c r="M478" s="235"/>
      <c r="N478" s="235"/>
      <c r="O478" s="235"/>
      <c r="P478" s="235"/>
      <c r="Q478" s="298"/>
      <c r="R478" s="234"/>
      <c r="S478" s="235"/>
      <c r="T478" s="235"/>
      <c r="U478" s="235"/>
      <c r="V478" s="235"/>
      <c r="W478" s="235"/>
      <c r="X478" s="235"/>
      <c r="Y478" s="235"/>
      <c r="Z478" s="235"/>
      <c r="AA478" s="235"/>
    </row>
    <row r="479" spans="1:27" ht="10.5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61"/>
      <c r="L479" s="235"/>
      <c r="M479" s="235"/>
      <c r="N479" s="235"/>
      <c r="O479" s="235"/>
      <c r="P479" s="235"/>
      <c r="Q479" s="298"/>
      <c r="R479" s="234"/>
      <c r="S479" s="235"/>
      <c r="T479" s="235"/>
      <c r="U479" s="235"/>
      <c r="V479" s="235"/>
      <c r="W479" s="235"/>
      <c r="X479" s="235"/>
      <c r="Y479" s="235"/>
      <c r="Z479" s="235"/>
      <c r="AA479" s="235"/>
    </row>
    <row r="480" spans="1:27" ht="10.5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61"/>
      <c r="L480" s="235"/>
      <c r="M480" s="235"/>
      <c r="N480" s="235"/>
      <c r="O480" s="235"/>
      <c r="P480" s="235"/>
      <c r="Q480" s="298"/>
      <c r="R480" s="234"/>
      <c r="S480" s="235"/>
      <c r="T480" s="235"/>
      <c r="U480" s="235"/>
      <c r="V480" s="235"/>
      <c r="W480" s="235"/>
      <c r="X480" s="235"/>
      <c r="Y480" s="235"/>
      <c r="Z480" s="235"/>
      <c r="AA480" s="235"/>
    </row>
    <row r="481" spans="1:27" ht="10.5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61"/>
      <c r="L481" s="235"/>
      <c r="M481" s="235"/>
      <c r="N481" s="235"/>
      <c r="O481" s="235"/>
      <c r="P481" s="235"/>
      <c r="Q481" s="298"/>
      <c r="R481" s="234"/>
      <c r="S481" s="235"/>
      <c r="T481" s="235"/>
      <c r="U481" s="235"/>
      <c r="V481" s="235"/>
      <c r="W481" s="235"/>
      <c r="X481" s="235"/>
      <c r="Y481" s="235"/>
      <c r="Z481" s="235"/>
      <c r="AA481" s="235"/>
    </row>
    <row r="482" spans="1:27" ht="10.5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61"/>
      <c r="L482" s="235"/>
      <c r="M482" s="235"/>
      <c r="N482" s="235"/>
      <c r="O482" s="235"/>
      <c r="P482" s="235"/>
      <c r="Q482" s="298"/>
      <c r="R482" s="234"/>
      <c r="S482" s="235"/>
      <c r="T482" s="235"/>
      <c r="U482" s="235"/>
      <c r="V482" s="235"/>
      <c r="W482" s="235"/>
      <c r="X482" s="235"/>
      <c r="Y482" s="235"/>
      <c r="Z482" s="235"/>
      <c r="AA482" s="235"/>
    </row>
    <row r="483" spans="1:27" ht="10.5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61"/>
      <c r="L483" s="235"/>
      <c r="M483" s="235"/>
      <c r="N483" s="235"/>
      <c r="O483" s="235"/>
      <c r="P483" s="235"/>
      <c r="Q483" s="298"/>
      <c r="R483" s="234"/>
      <c r="S483" s="235"/>
      <c r="T483" s="235"/>
      <c r="U483" s="235"/>
      <c r="V483" s="235"/>
      <c r="W483" s="235"/>
      <c r="X483" s="235"/>
      <c r="Y483" s="235"/>
      <c r="Z483" s="235"/>
      <c r="AA483" s="235"/>
    </row>
    <row r="484" spans="1:27" ht="10.5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61"/>
      <c r="L484" s="235"/>
      <c r="M484" s="235"/>
      <c r="N484" s="235"/>
      <c r="O484" s="235"/>
      <c r="P484" s="235"/>
      <c r="Q484" s="298"/>
      <c r="R484" s="234"/>
      <c r="S484" s="235"/>
      <c r="T484" s="235"/>
      <c r="U484" s="235"/>
      <c r="V484" s="235"/>
      <c r="W484" s="235"/>
      <c r="X484" s="235"/>
      <c r="Y484" s="235"/>
      <c r="Z484" s="235"/>
      <c r="AA484" s="235"/>
    </row>
    <row r="485" spans="1:27" ht="10.5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61"/>
      <c r="L485" s="235"/>
      <c r="M485" s="235"/>
      <c r="N485" s="235"/>
      <c r="O485" s="235"/>
      <c r="P485" s="235"/>
      <c r="Q485" s="298"/>
      <c r="R485" s="234"/>
      <c r="S485" s="235"/>
      <c r="T485" s="235"/>
      <c r="U485" s="235"/>
      <c r="V485" s="235"/>
      <c r="W485" s="235"/>
      <c r="X485" s="235"/>
      <c r="Y485" s="235"/>
      <c r="Z485" s="235"/>
      <c r="AA485" s="235"/>
    </row>
    <row r="486" spans="1:27" ht="10.5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61"/>
      <c r="L486" s="235"/>
      <c r="M486" s="235"/>
      <c r="N486" s="235"/>
      <c r="O486" s="235"/>
      <c r="P486" s="235"/>
      <c r="Q486" s="298"/>
      <c r="R486" s="234"/>
      <c r="S486" s="235"/>
      <c r="T486" s="235"/>
      <c r="U486" s="235"/>
      <c r="V486" s="235"/>
      <c r="W486" s="235"/>
      <c r="X486" s="235"/>
      <c r="Y486" s="235"/>
      <c r="Z486" s="235"/>
      <c r="AA486" s="235"/>
    </row>
    <row r="487" spans="1:27" ht="10.5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61"/>
      <c r="L487" s="235"/>
      <c r="M487" s="235"/>
      <c r="N487" s="235"/>
      <c r="O487" s="235"/>
      <c r="P487" s="235"/>
      <c r="Q487" s="298"/>
      <c r="R487" s="234"/>
      <c r="S487" s="235"/>
      <c r="T487" s="235"/>
      <c r="U487" s="235"/>
      <c r="V487" s="235"/>
      <c r="W487" s="235"/>
      <c r="X487" s="235"/>
      <c r="Y487" s="235"/>
      <c r="Z487" s="235"/>
      <c r="AA487" s="235"/>
    </row>
    <row r="488" spans="1:27" ht="10.5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61"/>
      <c r="L488" s="235"/>
      <c r="M488" s="235"/>
      <c r="N488" s="235"/>
      <c r="O488" s="235"/>
      <c r="P488" s="235"/>
      <c r="Q488" s="298"/>
      <c r="R488" s="234"/>
      <c r="S488" s="235"/>
      <c r="T488" s="235"/>
      <c r="U488" s="235"/>
      <c r="V488" s="235"/>
      <c r="W488" s="235"/>
      <c r="X488" s="235"/>
      <c r="Y488" s="235"/>
      <c r="Z488" s="235"/>
      <c r="AA488" s="235"/>
    </row>
    <row r="489" spans="1:27" ht="10.5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61"/>
      <c r="L489" s="235"/>
      <c r="M489" s="235"/>
      <c r="N489" s="235"/>
      <c r="O489" s="235"/>
      <c r="P489" s="235"/>
      <c r="Q489" s="298"/>
      <c r="R489" s="234"/>
      <c r="S489" s="235"/>
      <c r="T489" s="235"/>
      <c r="U489" s="235"/>
      <c r="V489" s="235"/>
      <c r="W489" s="235"/>
      <c r="X489" s="235"/>
      <c r="Y489" s="235"/>
      <c r="Z489" s="235"/>
      <c r="AA489" s="235"/>
    </row>
    <row r="490" spans="1:27" ht="10.5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61"/>
      <c r="L490" s="235"/>
      <c r="M490" s="235"/>
      <c r="N490" s="235"/>
      <c r="O490" s="235"/>
      <c r="P490" s="235"/>
      <c r="Q490" s="298"/>
      <c r="R490" s="234"/>
      <c r="S490" s="235"/>
      <c r="T490" s="235"/>
      <c r="U490" s="235"/>
      <c r="V490" s="235"/>
      <c r="W490" s="235"/>
      <c r="X490" s="235"/>
      <c r="Y490" s="235"/>
      <c r="Z490" s="235"/>
      <c r="AA490" s="235"/>
    </row>
    <row r="491" spans="1:27" ht="10.5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61"/>
      <c r="L491" s="235"/>
      <c r="M491" s="235"/>
      <c r="N491" s="235"/>
      <c r="O491" s="235"/>
      <c r="P491" s="235"/>
      <c r="Q491" s="298"/>
      <c r="R491" s="234"/>
      <c r="S491" s="235"/>
      <c r="T491" s="235"/>
      <c r="U491" s="235"/>
      <c r="V491" s="235"/>
      <c r="W491" s="235"/>
      <c r="X491" s="235"/>
      <c r="Y491" s="235"/>
      <c r="Z491" s="235"/>
      <c r="AA491" s="235"/>
    </row>
    <row r="492" spans="1:27" ht="10.5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61"/>
      <c r="L492" s="235"/>
      <c r="M492" s="235"/>
      <c r="N492" s="235"/>
      <c r="O492" s="235"/>
      <c r="P492" s="235"/>
      <c r="Q492" s="298"/>
      <c r="R492" s="234"/>
      <c r="S492" s="235"/>
      <c r="T492" s="235"/>
      <c r="U492" s="235"/>
      <c r="V492" s="235"/>
      <c r="W492" s="235"/>
      <c r="X492" s="235"/>
      <c r="Y492" s="235"/>
      <c r="Z492" s="235"/>
      <c r="AA492" s="235"/>
    </row>
    <row r="493" spans="1:27" ht="10.5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61"/>
      <c r="L493" s="235"/>
      <c r="M493" s="235"/>
      <c r="N493" s="235"/>
      <c r="O493" s="235"/>
      <c r="P493" s="235"/>
      <c r="Q493" s="298"/>
      <c r="R493" s="234"/>
      <c r="S493" s="235"/>
      <c r="T493" s="235"/>
      <c r="U493" s="235"/>
      <c r="V493" s="235"/>
      <c r="W493" s="235"/>
      <c r="X493" s="235"/>
      <c r="Y493" s="235"/>
      <c r="Z493" s="235"/>
      <c r="AA493" s="235"/>
    </row>
    <row r="494" spans="1:27" ht="10.5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61"/>
      <c r="L494" s="235"/>
      <c r="M494" s="235"/>
      <c r="N494" s="235"/>
      <c r="O494" s="235"/>
      <c r="P494" s="235"/>
      <c r="Q494" s="298"/>
      <c r="R494" s="234"/>
      <c r="S494" s="235"/>
      <c r="T494" s="235"/>
      <c r="U494" s="235"/>
      <c r="V494" s="235"/>
      <c r="W494" s="235"/>
      <c r="X494" s="235"/>
      <c r="Y494" s="235"/>
      <c r="Z494" s="235"/>
      <c r="AA494" s="235"/>
    </row>
    <row r="495" spans="1:27" ht="10.5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61"/>
      <c r="L495" s="235"/>
      <c r="M495" s="235"/>
      <c r="N495" s="235"/>
      <c r="O495" s="235"/>
      <c r="P495" s="235"/>
      <c r="Q495" s="298"/>
      <c r="R495" s="234"/>
      <c r="S495" s="235"/>
      <c r="T495" s="235"/>
      <c r="U495" s="235"/>
      <c r="V495" s="235"/>
      <c r="W495" s="235"/>
      <c r="X495" s="235"/>
      <c r="Y495" s="235"/>
      <c r="Z495" s="235"/>
      <c r="AA495" s="235"/>
    </row>
    <row r="496" spans="1:27" ht="10.5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61"/>
      <c r="L496" s="235"/>
      <c r="M496" s="235"/>
      <c r="N496" s="235"/>
      <c r="O496" s="235"/>
      <c r="P496" s="235"/>
      <c r="Q496" s="298"/>
      <c r="R496" s="234"/>
      <c r="S496" s="235"/>
      <c r="T496" s="235"/>
      <c r="U496" s="235"/>
      <c r="V496" s="235"/>
      <c r="W496" s="235"/>
      <c r="X496" s="235"/>
      <c r="Y496" s="235"/>
      <c r="Z496" s="235"/>
      <c r="AA496" s="235"/>
    </row>
    <row r="497" spans="1:27" ht="10.5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61"/>
      <c r="L497" s="235"/>
      <c r="M497" s="235"/>
      <c r="N497" s="235"/>
      <c r="O497" s="235"/>
      <c r="P497" s="235"/>
      <c r="Q497" s="298"/>
      <c r="R497" s="234"/>
      <c r="S497" s="235"/>
      <c r="T497" s="235"/>
      <c r="U497" s="235"/>
      <c r="V497" s="235"/>
      <c r="W497" s="235"/>
      <c r="X497" s="235"/>
      <c r="Y497" s="235"/>
      <c r="Z497" s="235"/>
      <c r="AA497" s="235"/>
    </row>
    <row r="498" spans="1:27" ht="10.5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61"/>
      <c r="L498" s="235"/>
      <c r="M498" s="235"/>
      <c r="N498" s="235"/>
      <c r="O498" s="235"/>
      <c r="P498" s="235"/>
      <c r="Q498" s="298"/>
      <c r="R498" s="234"/>
      <c r="S498" s="235"/>
      <c r="T498" s="235"/>
      <c r="U498" s="235"/>
      <c r="V498" s="235"/>
      <c r="W498" s="235"/>
      <c r="X498" s="235"/>
      <c r="Y498" s="235"/>
      <c r="Z498" s="235"/>
      <c r="AA498" s="235"/>
    </row>
    <row r="499" spans="1:27" ht="10.5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61"/>
      <c r="L499" s="235"/>
      <c r="M499" s="235"/>
      <c r="N499" s="235"/>
      <c r="O499" s="235"/>
      <c r="P499" s="235"/>
      <c r="Q499" s="298"/>
      <c r="R499" s="234"/>
      <c r="S499" s="235"/>
      <c r="T499" s="235"/>
      <c r="U499" s="235"/>
      <c r="V499" s="235"/>
      <c r="W499" s="235"/>
      <c r="X499" s="235"/>
      <c r="Y499" s="235"/>
      <c r="Z499" s="235"/>
      <c r="AA499" s="235"/>
    </row>
    <row r="500" spans="1:27" ht="10.5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61"/>
      <c r="L500" s="235"/>
      <c r="M500" s="235"/>
      <c r="N500" s="235"/>
      <c r="O500" s="235"/>
      <c r="P500" s="235"/>
      <c r="Q500" s="298"/>
      <c r="R500" s="234"/>
      <c r="S500" s="235"/>
      <c r="T500" s="235"/>
      <c r="U500" s="235"/>
      <c r="V500" s="235"/>
      <c r="W500" s="235"/>
      <c r="X500" s="235"/>
      <c r="Y500" s="235"/>
      <c r="Z500" s="235"/>
      <c r="AA500" s="235"/>
    </row>
    <row r="501" spans="1:27" ht="10.5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61"/>
      <c r="L501" s="235"/>
      <c r="M501" s="235"/>
      <c r="N501" s="235"/>
      <c r="O501" s="235"/>
      <c r="P501" s="235"/>
      <c r="Q501" s="298"/>
      <c r="R501" s="234"/>
      <c r="S501" s="235"/>
      <c r="T501" s="235"/>
      <c r="U501" s="235"/>
      <c r="V501" s="235"/>
      <c r="W501" s="235"/>
      <c r="X501" s="235"/>
      <c r="Y501" s="235"/>
      <c r="Z501" s="235"/>
      <c r="AA501" s="235"/>
    </row>
    <row r="502" spans="1:27" ht="10.5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61"/>
      <c r="L502" s="235"/>
      <c r="M502" s="235"/>
      <c r="N502" s="235"/>
      <c r="O502" s="235"/>
      <c r="P502" s="235"/>
      <c r="Q502" s="298"/>
      <c r="R502" s="234"/>
      <c r="S502" s="235"/>
      <c r="T502" s="235"/>
      <c r="U502" s="235"/>
      <c r="V502" s="235"/>
      <c r="W502" s="235"/>
      <c r="X502" s="235"/>
      <c r="Y502" s="235"/>
      <c r="Z502" s="235"/>
      <c r="AA502" s="235"/>
    </row>
    <row r="503" spans="1:27" ht="10.5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61"/>
      <c r="L503" s="235"/>
      <c r="M503" s="235"/>
      <c r="N503" s="235"/>
      <c r="O503" s="235"/>
      <c r="P503" s="235"/>
      <c r="Q503" s="298"/>
      <c r="R503" s="234"/>
      <c r="S503" s="235"/>
      <c r="T503" s="235"/>
      <c r="U503" s="235"/>
      <c r="V503" s="235"/>
      <c r="W503" s="235"/>
      <c r="X503" s="235"/>
      <c r="Y503" s="235"/>
      <c r="Z503" s="235"/>
      <c r="AA503" s="235"/>
    </row>
    <row r="504" spans="1:27" ht="10.5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61"/>
      <c r="L504" s="235"/>
      <c r="M504" s="235"/>
      <c r="N504" s="235"/>
      <c r="O504" s="235"/>
      <c r="P504" s="235"/>
      <c r="Q504" s="298"/>
      <c r="R504" s="234"/>
      <c r="S504" s="235"/>
      <c r="T504" s="235"/>
      <c r="U504" s="235"/>
      <c r="V504" s="235"/>
      <c r="W504" s="235"/>
      <c r="X504" s="235"/>
      <c r="Y504" s="235"/>
      <c r="Z504" s="235"/>
      <c r="AA504" s="235"/>
    </row>
    <row r="505" spans="1:27" ht="10.5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61"/>
      <c r="L505" s="235"/>
      <c r="M505" s="235"/>
      <c r="N505" s="235"/>
      <c r="O505" s="235"/>
      <c r="P505" s="235"/>
      <c r="Q505" s="298"/>
      <c r="R505" s="234"/>
      <c r="S505" s="235"/>
      <c r="T505" s="235"/>
      <c r="U505" s="235"/>
      <c r="V505" s="235"/>
      <c r="W505" s="235"/>
      <c r="X505" s="235"/>
      <c r="Y505" s="235"/>
      <c r="Z505" s="235"/>
      <c r="AA505" s="235"/>
    </row>
    <row r="506" spans="1:27" ht="10.5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61"/>
      <c r="L506" s="235"/>
      <c r="M506" s="235"/>
      <c r="N506" s="235"/>
      <c r="O506" s="235"/>
      <c r="P506" s="235"/>
      <c r="Q506" s="298"/>
      <c r="R506" s="234"/>
      <c r="S506" s="235"/>
      <c r="T506" s="235"/>
      <c r="U506" s="235"/>
      <c r="V506" s="235"/>
      <c r="W506" s="235"/>
      <c r="X506" s="235"/>
      <c r="Y506" s="235"/>
      <c r="Z506" s="235"/>
      <c r="AA506" s="235"/>
    </row>
    <row r="507" spans="1:27" ht="10.5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61"/>
      <c r="L507" s="235"/>
      <c r="M507" s="235"/>
      <c r="N507" s="235"/>
      <c r="O507" s="235"/>
      <c r="P507" s="235"/>
      <c r="Q507" s="298"/>
      <c r="R507" s="234"/>
      <c r="S507" s="235"/>
      <c r="T507" s="235"/>
      <c r="U507" s="235"/>
      <c r="V507" s="235"/>
      <c r="W507" s="235"/>
      <c r="X507" s="235"/>
      <c r="Y507" s="235"/>
      <c r="Z507" s="235"/>
      <c r="AA507" s="235"/>
    </row>
    <row r="508" spans="1:27" ht="10.5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61"/>
      <c r="L508" s="235"/>
      <c r="M508" s="235"/>
      <c r="N508" s="235"/>
      <c r="O508" s="235"/>
      <c r="P508" s="235"/>
      <c r="Q508" s="298"/>
      <c r="R508" s="234"/>
      <c r="S508" s="235"/>
      <c r="T508" s="235"/>
      <c r="U508" s="235"/>
      <c r="V508" s="235"/>
      <c r="W508" s="235"/>
      <c r="X508" s="235"/>
      <c r="Y508" s="235"/>
      <c r="Z508" s="235"/>
      <c r="AA508" s="235"/>
    </row>
    <row r="509" spans="1:27" ht="10.5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61"/>
      <c r="L509" s="235"/>
      <c r="M509" s="235"/>
      <c r="N509" s="235"/>
      <c r="O509" s="235"/>
      <c r="P509" s="235"/>
      <c r="Q509" s="298"/>
      <c r="R509" s="234"/>
      <c r="S509" s="235"/>
      <c r="T509" s="235"/>
      <c r="U509" s="235"/>
      <c r="V509" s="235"/>
      <c r="W509" s="235"/>
      <c r="X509" s="235"/>
      <c r="Y509" s="235"/>
      <c r="Z509" s="235"/>
      <c r="AA509" s="235"/>
    </row>
    <row r="510" spans="1:27" ht="10.5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61"/>
      <c r="L510" s="235"/>
      <c r="M510" s="235"/>
      <c r="N510" s="235"/>
      <c r="O510" s="235"/>
      <c r="P510" s="235"/>
      <c r="Q510" s="298"/>
      <c r="R510" s="234"/>
      <c r="S510" s="235"/>
      <c r="T510" s="235"/>
      <c r="U510" s="235"/>
      <c r="V510" s="235"/>
      <c r="W510" s="235"/>
      <c r="X510" s="235"/>
      <c r="Y510" s="235"/>
      <c r="Z510" s="235"/>
      <c r="AA510" s="235"/>
    </row>
    <row r="511" spans="1:27" ht="10.5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61"/>
      <c r="L511" s="235"/>
      <c r="M511" s="235"/>
      <c r="N511" s="235"/>
      <c r="O511" s="235"/>
      <c r="P511" s="235"/>
      <c r="Q511" s="298"/>
      <c r="R511" s="234"/>
      <c r="S511" s="235"/>
      <c r="T511" s="235"/>
      <c r="U511" s="235"/>
      <c r="V511" s="235"/>
      <c r="W511" s="235"/>
      <c r="X511" s="235"/>
      <c r="Y511" s="235"/>
      <c r="Z511" s="235"/>
      <c r="AA511" s="235"/>
    </row>
    <row r="512" spans="1:27" ht="10.5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61"/>
      <c r="L512" s="235"/>
      <c r="M512" s="235"/>
      <c r="N512" s="235"/>
      <c r="O512" s="235"/>
      <c r="P512" s="235"/>
      <c r="Q512" s="298"/>
      <c r="R512" s="234"/>
      <c r="S512" s="235"/>
      <c r="T512" s="235"/>
      <c r="U512" s="235"/>
      <c r="V512" s="235"/>
      <c r="W512" s="235"/>
      <c r="X512" s="235"/>
      <c r="Y512" s="235"/>
      <c r="Z512" s="235"/>
      <c r="AA512" s="235"/>
    </row>
    <row r="513" spans="1:27" ht="10.5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61"/>
      <c r="L513" s="235"/>
      <c r="M513" s="235"/>
      <c r="N513" s="235"/>
      <c r="O513" s="235"/>
      <c r="P513" s="235"/>
      <c r="Q513" s="298"/>
      <c r="R513" s="234"/>
      <c r="S513" s="235"/>
      <c r="T513" s="235"/>
      <c r="U513" s="235"/>
      <c r="V513" s="235"/>
      <c r="W513" s="235"/>
      <c r="X513" s="235"/>
      <c r="Y513" s="235"/>
      <c r="Z513" s="235"/>
      <c r="AA513" s="235"/>
    </row>
    <row r="514" spans="1:27" ht="10.5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61"/>
      <c r="L514" s="235"/>
      <c r="M514" s="235"/>
      <c r="N514" s="235"/>
      <c r="O514" s="235"/>
      <c r="P514" s="235"/>
      <c r="Q514" s="298"/>
      <c r="R514" s="234"/>
      <c r="S514" s="235"/>
      <c r="T514" s="235"/>
      <c r="U514" s="235"/>
      <c r="V514" s="235"/>
      <c r="W514" s="235"/>
      <c r="X514" s="235"/>
      <c r="Y514" s="235"/>
      <c r="Z514" s="235"/>
      <c r="AA514" s="235"/>
    </row>
    <row r="515" spans="1:27" ht="10.5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61"/>
      <c r="L515" s="235"/>
      <c r="M515" s="235"/>
      <c r="N515" s="235"/>
      <c r="O515" s="235"/>
      <c r="P515" s="235"/>
      <c r="Q515" s="298"/>
      <c r="R515" s="234"/>
      <c r="S515" s="235"/>
      <c r="T515" s="235"/>
      <c r="U515" s="235"/>
      <c r="V515" s="235"/>
      <c r="W515" s="235"/>
      <c r="X515" s="235"/>
      <c r="Y515" s="235"/>
      <c r="Z515" s="235"/>
      <c r="AA515" s="235"/>
    </row>
    <row r="516" spans="1:27" ht="10.5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61"/>
      <c r="L516" s="235"/>
      <c r="M516" s="235"/>
      <c r="N516" s="235"/>
      <c r="O516" s="235"/>
      <c r="P516" s="235"/>
      <c r="Q516" s="298"/>
      <c r="R516" s="234"/>
      <c r="S516" s="235"/>
      <c r="T516" s="235"/>
      <c r="U516" s="235"/>
      <c r="V516" s="235"/>
      <c r="W516" s="235"/>
      <c r="X516" s="235"/>
      <c r="Y516" s="235"/>
      <c r="Z516" s="235"/>
      <c r="AA516" s="235"/>
    </row>
    <row r="517" spans="1:27" ht="10.5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61"/>
      <c r="L517" s="235"/>
      <c r="M517" s="235"/>
      <c r="N517" s="235"/>
      <c r="O517" s="235"/>
      <c r="P517" s="235"/>
      <c r="Q517" s="298"/>
      <c r="R517" s="234"/>
      <c r="S517" s="235"/>
      <c r="T517" s="235"/>
      <c r="U517" s="235"/>
      <c r="V517" s="235"/>
      <c r="W517" s="235"/>
      <c r="X517" s="235"/>
      <c r="Y517" s="235"/>
      <c r="Z517" s="235"/>
      <c r="AA517" s="235"/>
    </row>
    <row r="518" spans="1:27" ht="10.5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61"/>
      <c r="L518" s="235"/>
      <c r="M518" s="235"/>
      <c r="N518" s="235"/>
      <c r="O518" s="235"/>
      <c r="P518" s="235"/>
      <c r="Q518" s="298"/>
      <c r="R518" s="234"/>
      <c r="S518" s="235"/>
      <c r="T518" s="235"/>
      <c r="U518" s="235"/>
      <c r="V518" s="235"/>
      <c r="W518" s="235"/>
      <c r="X518" s="235"/>
      <c r="Y518" s="235"/>
      <c r="Z518" s="235"/>
      <c r="AA518" s="235"/>
    </row>
    <row r="519" spans="1:27" ht="10.5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61"/>
      <c r="L519" s="235"/>
      <c r="M519" s="235"/>
      <c r="N519" s="235"/>
      <c r="O519" s="235"/>
      <c r="P519" s="235"/>
      <c r="Q519" s="298"/>
      <c r="R519" s="234"/>
      <c r="S519" s="235"/>
      <c r="T519" s="235"/>
      <c r="U519" s="235"/>
      <c r="V519" s="235"/>
      <c r="W519" s="235"/>
      <c r="X519" s="235"/>
      <c r="Y519" s="235"/>
      <c r="Z519" s="235"/>
      <c r="AA519" s="235"/>
    </row>
    <row r="520" spans="1:27" ht="10.5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61"/>
      <c r="L520" s="235"/>
      <c r="M520" s="235"/>
      <c r="N520" s="235"/>
      <c r="O520" s="235"/>
      <c r="P520" s="235"/>
      <c r="Q520" s="298"/>
      <c r="R520" s="234"/>
      <c r="S520" s="235"/>
      <c r="T520" s="235"/>
      <c r="U520" s="235"/>
      <c r="V520" s="235"/>
      <c r="W520" s="235"/>
      <c r="X520" s="235"/>
      <c r="Y520" s="235"/>
      <c r="Z520" s="235"/>
      <c r="AA520" s="235"/>
    </row>
    <row r="521" spans="1:27" ht="10.5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61"/>
      <c r="L521" s="235"/>
      <c r="M521" s="235"/>
      <c r="N521" s="235"/>
      <c r="O521" s="235"/>
      <c r="P521" s="235"/>
      <c r="Q521" s="298"/>
      <c r="R521" s="234"/>
      <c r="S521" s="235"/>
      <c r="T521" s="235"/>
      <c r="U521" s="235"/>
      <c r="V521" s="235"/>
      <c r="W521" s="235"/>
      <c r="X521" s="235"/>
      <c r="Y521" s="235"/>
      <c r="Z521" s="235"/>
      <c r="AA521" s="235"/>
    </row>
    <row r="522" spans="1:27" ht="10.5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61"/>
      <c r="L522" s="235"/>
      <c r="M522" s="235"/>
      <c r="N522" s="235"/>
      <c r="O522" s="235"/>
      <c r="P522" s="235"/>
      <c r="Q522" s="298"/>
      <c r="R522" s="234"/>
      <c r="S522" s="235"/>
      <c r="T522" s="235"/>
      <c r="U522" s="235"/>
      <c r="V522" s="235"/>
      <c r="W522" s="235"/>
      <c r="X522" s="235"/>
      <c r="Y522" s="235"/>
      <c r="Z522" s="235"/>
      <c r="AA522" s="235"/>
    </row>
    <row r="523" spans="1:27" ht="10.5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61"/>
      <c r="L523" s="235"/>
      <c r="M523" s="235"/>
      <c r="N523" s="235"/>
      <c r="O523" s="235"/>
      <c r="P523" s="235"/>
      <c r="Q523" s="298"/>
      <c r="R523" s="234"/>
      <c r="S523" s="235"/>
      <c r="T523" s="235"/>
      <c r="U523" s="235"/>
      <c r="V523" s="235"/>
      <c r="W523" s="235"/>
      <c r="X523" s="235"/>
      <c r="Y523" s="235"/>
      <c r="Z523" s="235"/>
      <c r="AA523" s="235"/>
    </row>
    <row r="524" spans="1:27" ht="10.5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61"/>
      <c r="L524" s="235"/>
      <c r="M524" s="235"/>
      <c r="N524" s="235"/>
      <c r="O524" s="235"/>
      <c r="P524" s="235"/>
      <c r="Q524" s="298"/>
      <c r="R524" s="234"/>
      <c r="S524" s="235"/>
      <c r="T524" s="235"/>
      <c r="U524" s="235"/>
      <c r="V524" s="235"/>
      <c r="W524" s="235"/>
      <c r="X524" s="235"/>
      <c r="Y524" s="235"/>
      <c r="Z524" s="235"/>
      <c r="AA524" s="235"/>
    </row>
    <row r="525" spans="1:27" ht="10.5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61"/>
      <c r="L525" s="235"/>
      <c r="M525" s="235"/>
      <c r="N525" s="235"/>
      <c r="O525" s="235"/>
      <c r="P525" s="235"/>
      <c r="Q525" s="298"/>
      <c r="R525" s="234"/>
      <c r="S525" s="235"/>
      <c r="T525" s="235"/>
      <c r="U525" s="235"/>
      <c r="V525" s="235"/>
      <c r="W525" s="235"/>
      <c r="X525" s="235"/>
      <c r="Y525" s="235"/>
      <c r="Z525" s="235"/>
      <c r="AA525" s="235"/>
    </row>
    <row r="526" spans="1:27" ht="10.5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61"/>
      <c r="L526" s="235"/>
      <c r="M526" s="235"/>
      <c r="N526" s="235"/>
      <c r="O526" s="235"/>
      <c r="P526" s="235"/>
      <c r="Q526" s="298"/>
      <c r="R526" s="234"/>
      <c r="S526" s="235"/>
      <c r="T526" s="235"/>
      <c r="U526" s="235"/>
      <c r="V526" s="235"/>
      <c r="W526" s="235"/>
      <c r="X526" s="235"/>
      <c r="Y526" s="235"/>
      <c r="Z526" s="235"/>
      <c r="AA526" s="235"/>
    </row>
    <row r="527" spans="1:27" ht="10.5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61"/>
      <c r="L527" s="235"/>
      <c r="M527" s="235"/>
      <c r="N527" s="235"/>
      <c r="O527" s="235"/>
      <c r="P527" s="235"/>
      <c r="Q527" s="298"/>
      <c r="R527" s="234"/>
      <c r="S527" s="235"/>
      <c r="T527" s="235"/>
      <c r="U527" s="235"/>
      <c r="V527" s="235"/>
      <c r="W527" s="235"/>
      <c r="X527" s="235"/>
      <c r="Y527" s="235"/>
      <c r="Z527" s="235"/>
      <c r="AA527" s="235"/>
    </row>
    <row r="528" spans="1:27" ht="10.5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61"/>
      <c r="L528" s="235"/>
      <c r="M528" s="235"/>
      <c r="N528" s="235"/>
      <c r="O528" s="235"/>
      <c r="P528" s="235"/>
      <c r="Q528" s="298"/>
      <c r="R528" s="234"/>
      <c r="S528" s="235"/>
      <c r="T528" s="235"/>
      <c r="U528" s="235"/>
      <c r="V528" s="235"/>
      <c r="W528" s="235"/>
      <c r="X528" s="235"/>
      <c r="Y528" s="235"/>
      <c r="Z528" s="235"/>
      <c r="AA528" s="235"/>
    </row>
    <row r="529" spans="1:27" ht="10.5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61"/>
      <c r="L529" s="235"/>
      <c r="M529" s="235"/>
      <c r="N529" s="235"/>
      <c r="O529" s="235"/>
      <c r="P529" s="235"/>
      <c r="Q529" s="298"/>
      <c r="R529" s="234"/>
      <c r="S529" s="235"/>
      <c r="T529" s="235"/>
      <c r="U529" s="235"/>
      <c r="V529" s="235"/>
      <c r="W529" s="235"/>
      <c r="X529" s="235"/>
      <c r="Y529" s="235"/>
      <c r="Z529" s="235"/>
      <c r="AA529" s="235"/>
    </row>
    <row r="530" spans="1:27" ht="10.5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61"/>
      <c r="L530" s="235"/>
      <c r="M530" s="235"/>
      <c r="N530" s="235"/>
      <c r="O530" s="235"/>
      <c r="P530" s="235"/>
      <c r="Q530" s="298"/>
      <c r="R530" s="234"/>
      <c r="S530" s="235"/>
      <c r="T530" s="235"/>
      <c r="U530" s="235"/>
      <c r="V530" s="235"/>
      <c r="W530" s="235"/>
      <c r="X530" s="235"/>
      <c r="Y530" s="235"/>
      <c r="Z530" s="235"/>
      <c r="AA530" s="235"/>
    </row>
    <row r="531" spans="1:27" ht="10.5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61"/>
      <c r="L531" s="235"/>
      <c r="M531" s="235"/>
      <c r="N531" s="235"/>
      <c r="O531" s="235"/>
      <c r="P531" s="235"/>
      <c r="Q531" s="298"/>
      <c r="R531" s="234"/>
      <c r="S531" s="235"/>
      <c r="T531" s="235"/>
      <c r="U531" s="235"/>
      <c r="V531" s="235"/>
      <c r="W531" s="235"/>
      <c r="X531" s="235"/>
      <c r="Y531" s="235"/>
      <c r="Z531" s="235"/>
      <c r="AA531" s="235"/>
    </row>
    <row r="532" spans="1:27" ht="10.5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61"/>
      <c r="L532" s="235"/>
      <c r="M532" s="235"/>
      <c r="N532" s="235"/>
      <c r="O532" s="235"/>
      <c r="P532" s="235"/>
      <c r="Q532" s="298"/>
      <c r="R532" s="234"/>
      <c r="S532" s="235"/>
      <c r="T532" s="235"/>
      <c r="U532" s="235"/>
      <c r="V532" s="235"/>
      <c r="W532" s="235"/>
      <c r="X532" s="235"/>
      <c r="Y532" s="235"/>
      <c r="Z532" s="235"/>
      <c r="AA532" s="235"/>
    </row>
    <row r="533" spans="1:27" ht="10.5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61"/>
      <c r="L533" s="235"/>
      <c r="M533" s="235"/>
      <c r="N533" s="235"/>
      <c r="O533" s="235"/>
      <c r="P533" s="235"/>
      <c r="Q533" s="298"/>
      <c r="R533" s="234"/>
      <c r="S533" s="235"/>
      <c r="T533" s="235"/>
      <c r="U533" s="235"/>
      <c r="V533" s="235"/>
      <c r="W533" s="235"/>
      <c r="X533" s="235"/>
      <c r="Y533" s="235"/>
      <c r="Z533" s="235"/>
      <c r="AA533" s="235"/>
    </row>
    <row r="534" spans="1:27" ht="10.5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61"/>
      <c r="L534" s="235"/>
      <c r="M534" s="235"/>
      <c r="N534" s="235"/>
      <c r="O534" s="235"/>
      <c r="P534" s="235"/>
      <c r="Q534" s="298"/>
      <c r="R534" s="234"/>
      <c r="S534" s="235"/>
      <c r="T534" s="235"/>
      <c r="U534" s="235"/>
      <c r="V534" s="235"/>
      <c r="W534" s="235"/>
      <c r="X534" s="235"/>
      <c r="Y534" s="235"/>
      <c r="Z534" s="235"/>
      <c r="AA534" s="235"/>
    </row>
    <row r="535" spans="1:27" ht="10.5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61"/>
      <c r="L535" s="235"/>
      <c r="M535" s="235"/>
      <c r="N535" s="235"/>
      <c r="O535" s="235"/>
      <c r="P535" s="235"/>
      <c r="Q535" s="298"/>
      <c r="R535" s="234"/>
      <c r="S535" s="235"/>
      <c r="T535" s="235"/>
      <c r="U535" s="235"/>
      <c r="V535" s="235"/>
      <c r="W535" s="235"/>
      <c r="X535" s="235"/>
      <c r="Y535" s="235"/>
      <c r="Z535" s="235"/>
      <c r="AA535" s="235"/>
    </row>
    <row r="536" spans="1:27" ht="10.5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61"/>
      <c r="L536" s="235"/>
      <c r="M536" s="235"/>
      <c r="N536" s="235"/>
      <c r="O536" s="235"/>
      <c r="P536" s="235"/>
      <c r="Q536" s="298"/>
      <c r="R536" s="234"/>
      <c r="S536" s="235"/>
      <c r="T536" s="235"/>
      <c r="U536" s="235"/>
      <c r="V536" s="235"/>
      <c r="W536" s="235"/>
      <c r="X536" s="235"/>
      <c r="Y536" s="235"/>
      <c r="Z536" s="235"/>
      <c r="AA536" s="235"/>
    </row>
    <row r="537" spans="1:27" ht="10.5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61"/>
      <c r="L537" s="235"/>
      <c r="M537" s="235"/>
      <c r="N537" s="235"/>
      <c r="O537" s="235"/>
      <c r="P537" s="235"/>
      <c r="Q537" s="298"/>
      <c r="R537" s="234"/>
      <c r="S537" s="235"/>
      <c r="T537" s="235"/>
      <c r="U537" s="235"/>
      <c r="V537" s="235"/>
      <c r="W537" s="235"/>
      <c r="X537" s="235"/>
      <c r="Y537" s="235"/>
      <c r="Z537" s="235"/>
      <c r="AA537" s="235"/>
    </row>
    <row r="538" spans="1:27" ht="10.5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61"/>
      <c r="L538" s="235"/>
      <c r="M538" s="235"/>
      <c r="N538" s="235"/>
      <c r="O538" s="235"/>
      <c r="P538" s="235"/>
      <c r="Q538" s="298"/>
      <c r="R538" s="234"/>
      <c r="S538" s="235"/>
      <c r="T538" s="235"/>
      <c r="U538" s="235"/>
      <c r="V538" s="235"/>
      <c r="W538" s="235"/>
      <c r="X538" s="235"/>
      <c r="Y538" s="235"/>
      <c r="Z538" s="235"/>
      <c r="AA538" s="235"/>
    </row>
    <row r="539" spans="1:27" ht="10.5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61"/>
      <c r="L539" s="235"/>
      <c r="M539" s="235"/>
      <c r="N539" s="235"/>
      <c r="O539" s="235"/>
      <c r="P539" s="235"/>
      <c r="Q539" s="298"/>
      <c r="R539" s="234"/>
      <c r="S539" s="235"/>
      <c r="T539" s="235"/>
      <c r="U539" s="235"/>
      <c r="V539" s="235"/>
      <c r="W539" s="235"/>
      <c r="X539" s="235"/>
      <c r="Y539" s="235"/>
      <c r="Z539" s="235"/>
      <c r="AA539" s="235"/>
    </row>
    <row r="540" spans="1:27" ht="10.5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61"/>
      <c r="L540" s="235"/>
      <c r="M540" s="235"/>
      <c r="N540" s="235"/>
      <c r="O540" s="235"/>
      <c r="P540" s="235"/>
      <c r="Q540" s="298"/>
      <c r="R540" s="234"/>
      <c r="S540" s="235"/>
      <c r="T540" s="235"/>
      <c r="U540" s="235"/>
      <c r="V540" s="235"/>
      <c r="W540" s="235"/>
      <c r="X540" s="235"/>
      <c r="Y540" s="235"/>
      <c r="Z540" s="235"/>
      <c r="AA540" s="235"/>
    </row>
    <row r="541" spans="1:27" ht="10.5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61"/>
      <c r="L541" s="235"/>
      <c r="M541" s="235"/>
      <c r="N541" s="235"/>
      <c r="O541" s="235"/>
      <c r="P541" s="235"/>
      <c r="Q541" s="298"/>
      <c r="R541" s="234"/>
      <c r="S541" s="235"/>
      <c r="T541" s="235"/>
      <c r="U541" s="235"/>
      <c r="V541" s="235"/>
      <c r="W541" s="235"/>
      <c r="X541" s="235"/>
      <c r="Y541" s="235"/>
      <c r="Z541" s="235"/>
      <c r="AA541" s="235"/>
    </row>
    <row r="542" spans="1:27" ht="10.5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61"/>
      <c r="L542" s="235"/>
      <c r="M542" s="235"/>
      <c r="N542" s="235"/>
      <c r="O542" s="235"/>
      <c r="P542" s="235"/>
      <c r="Q542" s="298"/>
      <c r="R542" s="234"/>
      <c r="S542" s="235"/>
      <c r="T542" s="235"/>
      <c r="U542" s="235"/>
      <c r="V542" s="235"/>
      <c r="W542" s="235"/>
      <c r="X542" s="235"/>
      <c r="Y542" s="235"/>
      <c r="Z542" s="235"/>
      <c r="AA542" s="235"/>
    </row>
    <row r="543" spans="1:27" ht="10.5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61"/>
      <c r="L543" s="235"/>
      <c r="M543" s="235"/>
      <c r="N543" s="235"/>
      <c r="O543" s="235"/>
      <c r="P543" s="235"/>
      <c r="Q543" s="298"/>
      <c r="R543" s="234"/>
      <c r="S543" s="235"/>
      <c r="T543" s="235"/>
      <c r="U543" s="235"/>
      <c r="V543" s="235"/>
      <c r="W543" s="235"/>
      <c r="X543" s="235"/>
      <c r="Y543" s="235"/>
      <c r="Z543" s="235"/>
      <c r="AA543" s="235"/>
    </row>
    <row r="544" spans="1:27" ht="10.5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61"/>
      <c r="L544" s="235"/>
      <c r="M544" s="235"/>
      <c r="N544" s="235"/>
      <c r="O544" s="235"/>
      <c r="P544" s="235"/>
      <c r="Q544" s="298"/>
      <c r="R544" s="234"/>
      <c r="S544" s="235"/>
      <c r="T544" s="235"/>
      <c r="U544" s="235"/>
      <c r="V544" s="235"/>
      <c r="W544" s="235"/>
      <c r="X544" s="235"/>
      <c r="Y544" s="235"/>
      <c r="Z544" s="235"/>
      <c r="AA544" s="235"/>
    </row>
    <row r="545" spans="1:27" ht="10.5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61"/>
      <c r="L545" s="235"/>
      <c r="M545" s="235"/>
      <c r="N545" s="235"/>
      <c r="O545" s="235"/>
      <c r="P545" s="235"/>
      <c r="Q545" s="298"/>
      <c r="R545" s="234"/>
      <c r="S545" s="235"/>
      <c r="T545" s="235"/>
      <c r="U545" s="235"/>
      <c r="V545" s="235"/>
      <c r="W545" s="235"/>
      <c r="X545" s="235"/>
      <c r="Y545" s="235"/>
      <c r="Z545" s="235"/>
      <c r="AA545" s="235"/>
    </row>
    <row r="546" spans="1:27" ht="10.5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61"/>
      <c r="L546" s="235"/>
      <c r="M546" s="235"/>
      <c r="N546" s="235"/>
      <c r="O546" s="235"/>
      <c r="P546" s="235"/>
      <c r="Q546" s="298"/>
      <c r="R546" s="234"/>
      <c r="S546" s="235"/>
      <c r="T546" s="235"/>
      <c r="U546" s="235"/>
      <c r="V546" s="235"/>
      <c r="W546" s="235"/>
      <c r="X546" s="235"/>
      <c r="Y546" s="235"/>
      <c r="Z546" s="235"/>
      <c r="AA546" s="235"/>
    </row>
    <row r="547" spans="1:27" ht="10.5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61"/>
      <c r="L547" s="235"/>
      <c r="M547" s="235"/>
      <c r="N547" s="235"/>
      <c r="O547" s="235"/>
      <c r="P547" s="235"/>
      <c r="Q547" s="298"/>
      <c r="R547" s="234"/>
      <c r="S547" s="235"/>
      <c r="T547" s="235"/>
      <c r="U547" s="235"/>
      <c r="V547" s="235"/>
      <c r="W547" s="235"/>
      <c r="X547" s="235"/>
      <c r="Y547" s="235"/>
      <c r="Z547" s="235"/>
      <c r="AA547" s="235"/>
    </row>
    <row r="548" spans="1:27" ht="10.5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61"/>
      <c r="L548" s="235"/>
      <c r="M548" s="235"/>
      <c r="N548" s="235"/>
      <c r="O548" s="235"/>
      <c r="P548" s="235"/>
      <c r="Q548" s="298"/>
      <c r="R548" s="234"/>
      <c r="S548" s="235"/>
      <c r="T548" s="235"/>
      <c r="U548" s="235"/>
      <c r="V548" s="235"/>
      <c r="W548" s="235"/>
      <c r="X548" s="235"/>
      <c r="Y548" s="235"/>
      <c r="Z548" s="235"/>
      <c r="AA548" s="235"/>
    </row>
    <row r="549" spans="1:27" ht="10.5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61"/>
      <c r="L549" s="235"/>
      <c r="M549" s="235"/>
      <c r="N549" s="235"/>
      <c r="O549" s="235"/>
      <c r="P549" s="235"/>
      <c r="Q549" s="298"/>
      <c r="R549" s="234"/>
      <c r="S549" s="235"/>
      <c r="T549" s="235"/>
      <c r="U549" s="235"/>
      <c r="V549" s="235"/>
      <c r="W549" s="235"/>
      <c r="X549" s="235"/>
      <c r="Y549" s="235"/>
      <c r="Z549" s="235"/>
      <c r="AA549" s="235"/>
    </row>
    <row r="550" spans="1:27" ht="10.5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61"/>
      <c r="L550" s="235"/>
      <c r="M550" s="235"/>
      <c r="N550" s="235"/>
      <c r="O550" s="235"/>
      <c r="P550" s="235"/>
      <c r="Q550" s="298"/>
      <c r="R550" s="234"/>
      <c r="S550" s="235"/>
      <c r="T550" s="235"/>
      <c r="U550" s="235"/>
      <c r="V550" s="235"/>
      <c r="W550" s="235"/>
      <c r="X550" s="235"/>
      <c r="Y550" s="235"/>
      <c r="Z550" s="235"/>
      <c r="AA550" s="235"/>
    </row>
    <row r="551" spans="1:27" ht="10.5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61"/>
      <c r="L551" s="235"/>
      <c r="M551" s="235"/>
      <c r="N551" s="235"/>
      <c r="O551" s="235"/>
      <c r="P551" s="235"/>
      <c r="Q551" s="298"/>
      <c r="R551" s="234"/>
      <c r="S551" s="235"/>
      <c r="T551" s="235"/>
      <c r="U551" s="235"/>
      <c r="V551" s="235"/>
      <c r="W551" s="235"/>
      <c r="X551" s="235"/>
      <c r="Y551" s="235"/>
      <c r="Z551" s="235"/>
      <c r="AA551" s="235"/>
    </row>
    <row r="552" spans="1:27" ht="10.5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61"/>
      <c r="L552" s="235"/>
      <c r="M552" s="235"/>
      <c r="N552" s="235"/>
      <c r="O552" s="235"/>
      <c r="P552" s="235"/>
      <c r="Q552" s="298"/>
      <c r="R552" s="234"/>
      <c r="S552" s="235"/>
      <c r="T552" s="235"/>
      <c r="U552" s="235"/>
      <c r="V552" s="235"/>
      <c r="W552" s="235"/>
      <c r="X552" s="235"/>
      <c r="Y552" s="235"/>
      <c r="Z552" s="235"/>
      <c r="AA552" s="235"/>
    </row>
    <row r="553" spans="1:27" ht="10.5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61"/>
      <c r="L553" s="235"/>
      <c r="M553" s="235"/>
      <c r="N553" s="235"/>
      <c r="O553" s="235"/>
      <c r="P553" s="235"/>
      <c r="Q553" s="298"/>
      <c r="R553" s="234"/>
      <c r="S553" s="235"/>
      <c r="T553" s="235"/>
      <c r="U553" s="235"/>
      <c r="V553" s="235"/>
      <c r="W553" s="235"/>
      <c r="X553" s="235"/>
      <c r="Y553" s="235"/>
      <c r="Z553" s="235"/>
      <c r="AA553" s="235"/>
    </row>
    <row r="554" spans="1:27" ht="10.5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61"/>
      <c r="L554" s="235"/>
      <c r="M554" s="235"/>
      <c r="N554" s="235"/>
      <c r="O554" s="235"/>
      <c r="P554" s="235"/>
      <c r="Q554" s="298"/>
      <c r="R554" s="234"/>
      <c r="S554" s="235"/>
      <c r="T554" s="235"/>
      <c r="U554" s="235"/>
      <c r="V554" s="235"/>
      <c r="W554" s="235"/>
      <c r="X554" s="235"/>
      <c r="Y554" s="235"/>
      <c r="Z554" s="235"/>
      <c r="AA554" s="235"/>
    </row>
    <row r="555" spans="1:27" ht="10.5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61"/>
      <c r="L555" s="235"/>
      <c r="M555" s="235"/>
      <c r="N555" s="235"/>
      <c r="O555" s="235"/>
      <c r="P555" s="235"/>
      <c r="Q555" s="298"/>
      <c r="R555" s="234"/>
      <c r="S555" s="235"/>
      <c r="T555" s="235"/>
      <c r="U555" s="235"/>
      <c r="V555" s="235"/>
      <c r="W555" s="235"/>
      <c r="X555" s="235"/>
      <c r="Y555" s="235"/>
      <c r="Z555" s="235"/>
      <c r="AA555" s="235"/>
    </row>
    <row r="556" spans="1:27" ht="10.5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61"/>
      <c r="L556" s="235"/>
      <c r="M556" s="235"/>
      <c r="N556" s="235"/>
      <c r="O556" s="235"/>
      <c r="P556" s="235"/>
      <c r="Q556" s="298"/>
      <c r="R556" s="234"/>
      <c r="S556" s="235"/>
      <c r="T556" s="235"/>
      <c r="U556" s="235"/>
      <c r="V556" s="235"/>
      <c r="W556" s="235"/>
      <c r="X556" s="235"/>
      <c r="Y556" s="235"/>
      <c r="Z556" s="235"/>
      <c r="AA556" s="235"/>
    </row>
    <row r="557" spans="1:27" ht="10.5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61"/>
      <c r="L557" s="235"/>
      <c r="M557" s="235"/>
      <c r="N557" s="235"/>
      <c r="O557" s="235"/>
      <c r="P557" s="235"/>
      <c r="Q557" s="298"/>
      <c r="R557" s="234"/>
      <c r="S557" s="235"/>
      <c r="T557" s="235"/>
      <c r="U557" s="235"/>
      <c r="V557" s="235"/>
      <c r="W557" s="235"/>
      <c r="X557" s="235"/>
      <c r="Y557" s="235"/>
      <c r="Z557" s="235"/>
      <c r="AA557" s="235"/>
    </row>
    <row r="558" spans="1:27" ht="10.5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61"/>
      <c r="L558" s="235"/>
      <c r="M558" s="235"/>
      <c r="N558" s="235"/>
      <c r="O558" s="235"/>
      <c r="P558" s="235"/>
      <c r="Q558" s="298"/>
      <c r="R558" s="234"/>
      <c r="S558" s="235"/>
      <c r="T558" s="235"/>
      <c r="U558" s="235"/>
      <c r="V558" s="235"/>
      <c r="W558" s="235"/>
      <c r="X558" s="235"/>
      <c r="Y558" s="235"/>
      <c r="Z558" s="235"/>
      <c r="AA558" s="235"/>
    </row>
    <row r="559" spans="1:27" ht="10.5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61"/>
      <c r="L559" s="235"/>
      <c r="M559" s="235"/>
      <c r="N559" s="235"/>
      <c r="O559" s="235"/>
      <c r="P559" s="235"/>
      <c r="Q559" s="298"/>
      <c r="R559" s="234"/>
      <c r="S559" s="235"/>
      <c r="T559" s="235"/>
      <c r="U559" s="235"/>
      <c r="V559" s="235"/>
      <c r="W559" s="235"/>
      <c r="X559" s="235"/>
      <c r="Y559" s="235"/>
      <c r="Z559" s="235"/>
      <c r="AA559" s="235"/>
    </row>
    <row r="560" spans="1:27" ht="10.5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61"/>
      <c r="L560" s="235"/>
      <c r="M560" s="235"/>
      <c r="N560" s="235"/>
      <c r="O560" s="235"/>
      <c r="P560" s="235"/>
      <c r="Q560" s="298"/>
      <c r="R560" s="234"/>
      <c r="S560" s="235"/>
      <c r="T560" s="235"/>
      <c r="U560" s="235"/>
      <c r="V560" s="235"/>
      <c r="W560" s="235"/>
      <c r="X560" s="235"/>
      <c r="Y560" s="235"/>
      <c r="Z560" s="235"/>
      <c r="AA560" s="235"/>
    </row>
    <row r="561" spans="1:27" ht="10.5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61"/>
      <c r="L561" s="235"/>
      <c r="M561" s="235"/>
      <c r="N561" s="235"/>
      <c r="O561" s="235"/>
      <c r="P561" s="235"/>
      <c r="Q561" s="298"/>
      <c r="R561" s="234"/>
      <c r="S561" s="235"/>
      <c r="T561" s="235"/>
      <c r="U561" s="235"/>
      <c r="V561" s="235"/>
      <c r="W561" s="235"/>
      <c r="X561" s="235"/>
      <c r="Y561" s="235"/>
      <c r="Z561" s="235"/>
      <c r="AA561" s="235"/>
    </row>
    <row r="562" spans="1:27" ht="10.5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61"/>
      <c r="L562" s="235"/>
      <c r="M562" s="235"/>
      <c r="N562" s="235"/>
      <c r="O562" s="235"/>
      <c r="P562" s="235"/>
      <c r="Q562" s="298"/>
      <c r="R562" s="234"/>
      <c r="S562" s="235"/>
      <c r="T562" s="235"/>
      <c r="U562" s="235"/>
      <c r="V562" s="235"/>
      <c r="W562" s="235"/>
      <c r="X562" s="235"/>
      <c r="Y562" s="235"/>
      <c r="Z562" s="235"/>
      <c r="AA562" s="235"/>
    </row>
    <row r="563" spans="1:27" ht="10.5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61"/>
      <c r="L563" s="235"/>
      <c r="M563" s="235"/>
      <c r="N563" s="235"/>
      <c r="O563" s="235"/>
      <c r="P563" s="235"/>
      <c r="Q563" s="298"/>
      <c r="R563" s="234"/>
      <c r="S563" s="235"/>
      <c r="T563" s="235"/>
      <c r="U563" s="235"/>
      <c r="V563" s="235"/>
      <c r="W563" s="235"/>
      <c r="X563" s="235"/>
      <c r="Y563" s="235"/>
      <c r="Z563" s="235"/>
      <c r="AA563" s="235"/>
    </row>
    <row r="564" spans="1:27" ht="10.5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61"/>
      <c r="L564" s="235"/>
      <c r="M564" s="235"/>
      <c r="N564" s="235"/>
      <c r="O564" s="235"/>
      <c r="P564" s="235"/>
      <c r="Q564" s="298"/>
      <c r="R564" s="234"/>
      <c r="S564" s="235"/>
      <c r="T564" s="235"/>
      <c r="U564" s="235"/>
      <c r="V564" s="235"/>
      <c r="W564" s="235"/>
      <c r="X564" s="235"/>
      <c r="Y564" s="235"/>
      <c r="Z564" s="235"/>
      <c r="AA564" s="235"/>
    </row>
    <row r="565" spans="1:27" ht="10.5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61"/>
      <c r="L565" s="235"/>
      <c r="M565" s="235"/>
      <c r="N565" s="235"/>
      <c r="O565" s="235"/>
      <c r="P565" s="235"/>
      <c r="Q565" s="298"/>
      <c r="R565" s="234"/>
      <c r="S565" s="235"/>
      <c r="T565" s="235"/>
      <c r="U565" s="235"/>
      <c r="V565" s="235"/>
      <c r="W565" s="235"/>
      <c r="X565" s="235"/>
      <c r="Y565" s="235"/>
      <c r="Z565" s="235"/>
      <c r="AA565" s="235"/>
    </row>
    <row r="566" spans="1:27" ht="10.5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61"/>
      <c r="L566" s="235"/>
      <c r="M566" s="235"/>
      <c r="N566" s="235"/>
      <c r="O566" s="235"/>
      <c r="P566" s="235"/>
      <c r="Q566" s="298"/>
      <c r="R566" s="234"/>
      <c r="S566" s="235"/>
      <c r="T566" s="235"/>
      <c r="U566" s="235"/>
      <c r="V566" s="235"/>
      <c r="W566" s="235"/>
      <c r="X566" s="235"/>
      <c r="Y566" s="235"/>
      <c r="Z566" s="235"/>
      <c r="AA566" s="235"/>
    </row>
    <row r="567" spans="1:27" ht="10.5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61"/>
      <c r="L567" s="235"/>
      <c r="M567" s="235"/>
      <c r="N567" s="235"/>
      <c r="O567" s="235"/>
      <c r="P567" s="235"/>
      <c r="Q567" s="298"/>
      <c r="R567" s="234"/>
      <c r="S567" s="235"/>
      <c r="T567" s="235"/>
      <c r="U567" s="235"/>
      <c r="V567" s="235"/>
      <c r="W567" s="235"/>
      <c r="X567" s="235"/>
      <c r="Y567" s="235"/>
      <c r="Z567" s="235"/>
      <c r="AA567" s="235"/>
    </row>
    <row r="568" spans="1:27" ht="10.5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61"/>
      <c r="L568" s="235"/>
      <c r="M568" s="235"/>
      <c r="N568" s="235"/>
      <c r="O568" s="235"/>
      <c r="P568" s="235"/>
      <c r="Q568" s="298"/>
      <c r="R568" s="234"/>
      <c r="S568" s="235"/>
      <c r="T568" s="235"/>
      <c r="U568" s="235"/>
      <c r="V568" s="235"/>
      <c r="W568" s="235"/>
      <c r="X568" s="235"/>
      <c r="Y568" s="235"/>
      <c r="Z568" s="235"/>
      <c r="AA568" s="235"/>
    </row>
    <row r="569" spans="1:27" ht="10.5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61"/>
      <c r="L569" s="235"/>
      <c r="M569" s="235"/>
      <c r="N569" s="235"/>
      <c r="O569" s="235"/>
      <c r="P569" s="235"/>
      <c r="Q569" s="298"/>
      <c r="R569" s="234"/>
      <c r="S569" s="235"/>
      <c r="T569" s="235"/>
      <c r="U569" s="235"/>
      <c r="V569" s="235"/>
      <c r="W569" s="235"/>
      <c r="X569" s="235"/>
      <c r="Y569" s="235"/>
      <c r="Z569" s="235"/>
      <c r="AA569" s="235"/>
    </row>
    <row r="570" spans="1:27" ht="10.5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61"/>
      <c r="L570" s="235"/>
      <c r="M570" s="235"/>
      <c r="N570" s="235"/>
      <c r="O570" s="235"/>
      <c r="P570" s="235"/>
      <c r="Q570" s="298"/>
      <c r="R570" s="234"/>
      <c r="S570" s="235"/>
      <c r="T570" s="235"/>
      <c r="U570" s="235"/>
      <c r="V570" s="235"/>
      <c r="W570" s="235"/>
      <c r="X570" s="235"/>
      <c r="Y570" s="235"/>
      <c r="Z570" s="235"/>
      <c r="AA570" s="235"/>
    </row>
    <row r="571" spans="1:27" ht="10.5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61"/>
      <c r="L571" s="235"/>
      <c r="M571" s="235"/>
      <c r="N571" s="235"/>
      <c r="O571" s="235"/>
      <c r="P571" s="235"/>
      <c r="Q571" s="298"/>
      <c r="R571" s="234"/>
      <c r="S571" s="235"/>
      <c r="T571" s="235"/>
      <c r="U571" s="235"/>
      <c r="V571" s="235"/>
      <c r="W571" s="235"/>
      <c r="X571" s="235"/>
      <c r="Y571" s="235"/>
      <c r="Z571" s="235"/>
      <c r="AA571" s="235"/>
    </row>
    <row r="572" spans="1:27" ht="10.5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61"/>
      <c r="L572" s="235"/>
      <c r="M572" s="235"/>
      <c r="N572" s="235"/>
      <c r="O572" s="235"/>
      <c r="P572" s="235"/>
      <c r="Q572" s="298"/>
      <c r="R572" s="234"/>
      <c r="S572" s="235"/>
      <c r="T572" s="235"/>
      <c r="U572" s="235"/>
      <c r="V572" s="235"/>
      <c r="W572" s="235"/>
      <c r="X572" s="235"/>
      <c r="Y572" s="235"/>
      <c r="Z572" s="235"/>
      <c r="AA572" s="235"/>
    </row>
    <row r="573" spans="1:27" ht="10.5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61"/>
      <c r="L573" s="235"/>
      <c r="M573" s="235"/>
      <c r="N573" s="235"/>
      <c r="O573" s="235"/>
      <c r="P573" s="235"/>
      <c r="Q573" s="298"/>
      <c r="R573" s="234"/>
      <c r="S573" s="235"/>
      <c r="T573" s="235"/>
      <c r="U573" s="235"/>
      <c r="V573" s="235"/>
      <c r="W573" s="235"/>
      <c r="X573" s="235"/>
      <c r="Y573" s="235"/>
      <c r="Z573" s="235"/>
      <c r="AA573" s="235"/>
    </row>
    <row r="574" spans="1:27" ht="10.5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61"/>
      <c r="L574" s="235"/>
      <c r="M574" s="235"/>
      <c r="N574" s="235"/>
      <c r="O574" s="235"/>
      <c r="P574" s="235"/>
      <c r="Q574" s="298"/>
      <c r="R574" s="234"/>
      <c r="S574" s="235"/>
      <c r="T574" s="235"/>
      <c r="U574" s="235"/>
      <c r="V574" s="235"/>
      <c r="W574" s="235"/>
      <c r="X574" s="235"/>
      <c r="Y574" s="235"/>
      <c r="Z574" s="235"/>
      <c r="AA574" s="235"/>
    </row>
    <row r="575" spans="1:27" ht="10.5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61"/>
      <c r="L575" s="235"/>
      <c r="M575" s="235"/>
      <c r="N575" s="235"/>
      <c r="O575" s="235"/>
      <c r="P575" s="235"/>
      <c r="Q575" s="298"/>
      <c r="R575" s="234"/>
      <c r="S575" s="235"/>
      <c r="T575" s="235"/>
      <c r="U575" s="235"/>
      <c r="V575" s="235"/>
      <c r="W575" s="235"/>
      <c r="X575" s="235"/>
      <c r="Y575" s="235"/>
      <c r="Z575" s="235"/>
      <c r="AA575" s="235"/>
    </row>
    <row r="576" spans="1:27" ht="10.5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61"/>
      <c r="L576" s="235"/>
      <c r="M576" s="235"/>
      <c r="N576" s="235"/>
      <c r="O576" s="235"/>
      <c r="P576" s="235"/>
      <c r="Q576" s="298"/>
      <c r="R576" s="234"/>
      <c r="S576" s="235"/>
      <c r="T576" s="235"/>
      <c r="U576" s="235"/>
      <c r="V576" s="235"/>
      <c r="W576" s="235"/>
      <c r="X576" s="235"/>
      <c r="Y576" s="235"/>
      <c r="Z576" s="235"/>
      <c r="AA576" s="235"/>
    </row>
    <row r="577" spans="1:27" ht="10.5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61"/>
      <c r="L577" s="235"/>
      <c r="M577" s="235"/>
      <c r="N577" s="235"/>
      <c r="O577" s="235"/>
      <c r="P577" s="235"/>
      <c r="Q577" s="298"/>
      <c r="R577" s="234"/>
      <c r="S577" s="235"/>
      <c r="T577" s="235"/>
      <c r="U577" s="235"/>
      <c r="V577" s="235"/>
      <c r="W577" s="235"/>
      <c r="X577" s="235"/>
      <c r="Y577" s="235"/>
      <c r="Z577" s="235"/>
      <c r="AA577" s="235"/>
    </row>
    <row r="578" spans="1:27" ht="10.5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61"/>
      <c r="L578" s="235"/>
      <c r="M578" s="235"/>
      <c r="N578" s="235"/>
      <c r="O578" s="235"/>
      <c r="P578" s="235"/>
      <c r="Q578" s="298"/>
      <c r="R578" s="234"/>
      <c r="S578" s="235"/>
      <c r="T578" s="235"/>
      <c r="U578" s="235"/>
      <c r="V578" s="235"/>
      <c r="W578" s="235"/>
      <c r="X578" s="235"/>
      <c r="Y578" s="235"/>
      <c r="Z578" s="235"/>
      <c r="AA578" s="235"/>
    </row>
    <row r="579" spans="1:27" ht="10.5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61"/>
      <c r="L579" s="235"/>
      <c r="M579" s="235"/>
      <c r="N579" s="235"/>
      <c r="O579" s="235"/>
      <c r="P579" s="235"/>
      <c r="Q579" s="298"/>
      <c r="R579" s="234"/>
      <c r="S579" s="235"/>
      <c r="T579" s="235"/>
      <c r="U579" s="235"/>
      <c r="V579" s="235"/>
      <c r="W579" s="235"/>
      <c r="X579" s="235"/>
      <c r="Y579" s="235"/>
      <c r="Z579" s="235"/>
      <c r="AA579" s="235"/>
    </row>
    <row r="580" spans="1:27" ht="10.5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61"/>
      <c r="L580" s="235"/>
      <c r="M580" s="235"/>
      <c r="N580" s="235"/>
      <c r="O580" s="235"/>
      <c r="P580" s="235"/>
      <c r="Q580" s="298"/>
      <c r="R580" s="234"/>
      <c r="S580" s="235"/>
      <c r="T580" s="235"/>
      <c r="U580" s="235"/>
      <c r="V580" s="235"/>
      <c r="W580" s="235"/>
      <c r="X580" s="235"/>
      <c r="Y580" s="235"/>
      <c r="Z580" s="235"/>
      <c r="AA580" s="235"/>
    </row>
    <row r="581" spans="1:27" ht="10.5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61"/>
      <c r="L581" s="235"/>
      <c r="M581" s="235"/>
      <c r="N581" s="235"/>
      <c r="O581" s="235"/>
      <c r="P581" s="235"/>
      <c r="Q581" s="298"/>
      <c r="R581" s="234"/>
      <c r="S581" s="235"/>
      <c r="T581" s="235"/>
      <c r="U581" s="235"/>
      <c r="V581" s="235"/>
      <c r="W581" s="235"/>
      <c r="X581" s="235"/>
      <c r="Y581" s="235"/>
      <c r="Z581" s="235"/>
      <c r="AA581" s="235"/>
    </row>
    <row r="582" spans="1:27" ht="10.5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61"/>
      <c r="L582" s="235"/>
      <c r="M582" s="235"/>
      <c r="N582" s="235"/>
      <c r="O582" s="235"/>
      <c r="P582" s="235"/>
      <c r="Q582" s="298"/>
      <c r="R582" s="234"/>
      <c r="S582" s="235"/>
      <c r="T582" s="235"/>
      <c r="U582" s="235"/>
      <c r="V582" s="235"/>
      <c r="W582" s="235"/>
      <c r="X582" s="235"/>
      <c r="Y582" s="235"/>
      <c r="Z582" s="235"/>
      <c r="AA582" s="235"/>
    </row>
    <row r="583" spans="1:27" ht="10.5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61"/>
      <c r="L583" s="235"/>
      <c r="M583" s="235"/>
      <c r="N583" s="235"/>
      <c r="O583" s="235"/>
      <c r="P583" s="235"/>
      <c r="Q583" s="298"/>
      <c r="R583" s="234"/>
      <c r="S583" s="235"/>
      <c r="T583" s="235"/>
      <c r="U583" s="235"/>
      <c r="V583" s="235"/>
      <c r="W583" s="235"/>
      <c r="X583" s="235"/>
      <c r="Y583" s="235"/>
      <c r="Z583" s="235"/>
      <c r="AA583" s="235"/>
    </row>
    <row r="584" spans="1:27" ht="10.5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61"/>
      <c r="L584" s="235"/>
      <c r="M584" s="235"/>
      <c r="N584" s="235"/>
      <c r="O584" s="235"/>
      <c r="P584" s="235"/>
      <c r="Q584" s="298"/>
      <c r="R584" s="234"/>
      <c r="S584" s="235"/>
      <c r="T584" s="235"/>
      <c r="U584" s="235"/>
      <c r="V584" s="235"/>
      <c r="W584" s="235"/>
      <c r="X584" s="235"/>
      <c r="Y584" s="235"/>
      <c r="Z584" s="235"/>
      <c r="AA584" s="235"/>
    </row>
    <row r="585" spans="1:27" ht="10.5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61"/>
      <c r="L585" s="235"/>
      <c r="M585" s="235"/>
      <c r="N585" s="235"/>
      <c r="O585" s="235"/>
      <c r="P585" s="235"/>
      <c r="Q585" s="298"/>
      <c r="R585" s="234"/>
      <c r="S585" s="235"/>
      <c r="T585" s="235"/>
      <c r="U585" s="235"/>
      <c r="V585" s="235"/>
      <c r="W585" s="235"/>
      <c r="X585" s="235"/>
      <c r="Y585" s="235"/>
      <c r="Z585" s="235"/>
      <c r="AA585" s="235"/>
    </row>
    <row r="586" spans="1:27" ht="10.5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61"/>
      <c r="L586" s="235"/>
      <c r="M586" s="235"/>
      <c r="N586" s="235"/>
      <c r="O586" s="235"/>
      <c r="P586" s="235"/>
      <c r="Q586" s="298"/>
      <c r="R586" s="234"/>
      <c r="S586" s="235"/>
      <c r="T586" s="235"/>
      <c r="U586" s="235"/>
      <c r="V586" s="235"/>
      <c r="W586" s="235"/>
      <c r="X586" s="235"/>
      <c r="Y586" s="235"/>
      <c r="Z586" s="235"/>
      <c r="AA586" s="235"/>
    </row>
    <row r="587" spans="1:27" ht="10.5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61"/>
      <c r="L587" s="235"/>
      <c r="M587" s="235"/>
      <c r="N587" s="235"/>
      <c r="O587" s="235"/>
      <c r="P587" s="235"/>
      <c r="Q587" s="298"/>
      <c r="R587" s="234"/>
      <c r="S587" s="235"/>
      <c r="T587" s="235"/>
      <c r="U587" s="235"/>
      <c r="V587" s="235"/>
      <c r="W587" s="235"/>
      <c r="X587" s="235"/>
      <c r="Y587" s="235"/>
      <c r="Z587" s="235"/>
      <c r="AA587" s="235"/>
    </row>
    <row r="588" spans="1:27" ht="10.5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61"/>
      <c r="L588" s="235"/>
      <c r="M588" s="235"/>
      <c r="N588" s="235"/>
      <c r="O588" s="235"/>
      <c r="P588" s="235"/>
      <c r="Q588" s="298"/>
      <c r="R588" s="234"/>
      <c r="S588" s="235"/>
      <c r="T588" s="235"/>
      <c r="U588" s="235"/>
      <c r="V588" s="235"/>
      <c r="W588" s="235"/>
      <c r="X588" s="235"/>
      <c r="Y588" s="235"/>
      <c r="Z588" s="235"/>
      <c r="AA588" s="235"/>
    </row>
    <row r="589" spans="1:27" ht="10.5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61"/>
      <c r="L589" s="235"/>
      <c r="M589" s="235"/>
      <c r="N589" s="235"/>
      <c r="O589" s="235"/>
      <c r="P589" s="235"/>
      <c r="Q589" s="298"/>
      <c r="R589" s="234"/>
      <c r="S589" s="235"/>
      <c r="T589" s="235"/>
      <c r="U589" s="235"/>
      <c r="V589" s="235"/>
      <c r="W589" s="235"/>
      <c r="X589" s="235"/>
      <c r="Y589" s="235"/>
      <c r="Z589" s="235"/>
      <c r="AA589" s="235"/>
    </row>
    <row r="590" spans="1:27" ht="10.5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61"/>
      <c r="L590" s="235"/>
      <c r="M590" s="235"/>
      <c r="N590" s="235"/>
      <c r="O590" s="235"/>
      <c r="P590" s="235"/>
      <c r="Q590" s="298"/>
      <c r="R590" s="234"/>
      <c r="S590" s="235"/>
      <c r="T590" s="235"/>
      <c r="U590" s="235"/>
      <c r="V590" s="235"/>
      <c r="W590" s="235"/>
      <c r="X590" s="235"/>
      <c r="Y590" s="235"/>
      <c r="Z590" s="235"/>
      <c r="AA590" s="235"/>
    </row>
    <row r="591" spans="1:27" ht="10.5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61"/>
      <c r="L591" s="235"/>
      <c r="M591" s="235"/>
      <c r="N591" s="235"/>
      <c r="O591" s="235"/>
      <c r="P591" s="235"/>
      <c r="Q591" s="298"/>
      <c r="R591" s="234"/>
      <c r="S591" s="235"/>
      <c r="T591" s="235"/>
      <c r="U591" s="235"/>
      <c r="V591" s="235"/>
      <c r="W591" s="235"/>
      <c r="X591" s="235"/>
      <c r="Y591" s="235"/>
      <c r="Z591" s="235"/>
      <c r="AA591" s="235"/>
    </row>
    <row r="592" spans="1:27" ht="10.5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61"/>
      <c r="L592" s="235"/>
      <c r="M592" s="235"/>
      <c r="N592" s="235"/>
      <c r="O592" s="235"/>
      <c r="P592" s="235"/>
      <c r="Q592" s="298"/>
      <c r="R592" s="234"/>
      <c r="S592" s="235"/>
      <c r="T592" s="235"/>
      <c r="U592" s="235"/>
      <c r="V592" s="235"/>
      <c r="W592" s="235"/>
      <c r="X592" s="235"/>
      <c r="Y592" s="235"/>
      <c r="Z592" s="235"/>
      <c r="AA592" s="235"/>
    </row>
    <row r="593" spans="1:27" ht="10.5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61"/>
      <c r="L593" s="235"/>
      <c r="M593" s="235"/>
      <c r="N593" s="235"/>
      <c r="O593" s="235"/>
      <c r="P593" s="235"/>
      <c r="Q593" s="298"/>
      <c r="R593" s="234"/>
      <c r="S593" s="235"/>
      <c r="T593" s="235"/>
      <c r="U593" s="235"/>
      <c r="V593" s="235"/>
      <c r="W593" s="235"/>
      <c r="X593" s="235"/>
      <c r="Y593" s="235"/>
      <c r="Z593" s="235"/>
      <c r="AA593" s="235"/>
    </row>
    <row r="594" spans="1:27" ht="10.5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61"/>
      <c r="L594" s="235"/>
      <c r="M594" s="235"/>
      <c r="N594" s="235"/>
      <c r="O594" s="235"/>
      <c r="P594" s="235"/>
      <c r="Q594" s="298"/>
      <c r="R594" s="234"/>
      <c r="S594" s="235"/>
      <c r="T594" s="235"/>
      <c r="U594" s="235"/>
      <c r="V594" s="235"/>
      <c r="W594" s="235"/>
      <c r="X594" s="235"/>
      <c r="Y594" s="235"/>
      <c r="Z594" s="235"/>
      <c r="AA594" s="235"/>
    </row>
    <row r="595" spans="1:27" ht="10.5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61"/>
      <c r="L595" s="235"/>
      <c r="M595" s="235"/>
      <c r="N595" s="235"/>
      <c r="O595" s="235"/>
      <c r="P595" s="235"/>
      <c r="Q595" s="298"/>
      <c r="R595" s="234"/>
      <c r="S595" s="235"/>
      <c r="T595" s="235"/>
      <c r="U595" s="235"/>
      <c r="V595" s="235"/>
      <c r="W595" s="235"/>
      <c r="X595" s="235"/>
      <c r="Y595" s="235"/>
      <c r="Z595" s="235"/>
      <c r="AA595" s="235"/>
    </row>
    <row r="596" spans="1:27" ht="10.5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61"/>
      <c r="L596" s="235"/>
      <c r="M596" s="235"/>
      <c r="N596" s="235"/>
      <c r="O596" s="235"/>
      <c r="P596" s="235"/>
      <c r="Q596" s="298"/>
      <c r="R596" s="234"/>
      <c r="S596" s="235"/>
      <c r="T596" s="235"/>
      <c r="U596" s="235"/>
      <c r="V596" s="235"/>
      <c r="W596" s="235"/>
      <c r="X596" s="235"/>
      <c r="Y596" s="235"/>
      <c r="Z596" s="235"/>
      <c r="AA596" s="235"/>
    </row>
    <row r="597" spans="1:27" ht="10.5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61"/>
      <c r="L597" s="235"/>
      <c r="M597" s="235"/>
      <c r="N597" s="235"/>
      <c r="O597" s="235"/>
      <c r="P597" s="235"/>
      <c r="Q597" s="298"/>
      <c r="R597" s="234"/>
      <c r="S597" s="235"/>
      <c r="T597" s="235"/>
      <c r="U597" s="235"/>
      <c r="V597" s="235"/>
      <c r="W597" s="235"/>
      <c r="X597" s="235"/>
      <c r="Y597" s="235"/>
      <c r="Z597" s="235"/>
      <c r="AA597" s="235"/>
    </row>
    <row r="598" spans="1:27" ht="10.5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61"/>
      <c r="L598" s="235"/>
      <c r="M598" s="235"/>
      <c r="N598" s="235"/>
      <c r="O598" s="235"/>
      <c r="P598" s="235"/>
      <c r="Q598" s="298"/>
      <c r="R598" s="234"/>
      <c r="S598" s="235"/>
      <c r="T598" s="235"/>
      <c r="U598" s="235"/>
      <c r="V598" s="235"/>
      <c r="W598" s="235"/>
      <c r="X598" s="235"/>
      <c r="Y598" s="235"/>
      <c r="Z598" s="235"/>
      <c r="AA598" s="235"/>
    </row>
    <row r="599" spans="1:27" ht="10.5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61"/>
      <c r="L599" s="235"/>
      <c r="M599" s="235"/>
      <c r="N599" s="235"/>
      <c r="O599" s="235"/>
      <c r="P599" s="235"/>
      <c r="Q599" s="298"/>
      <c r="R599" s="234"/>
      <c r="S599" s="235"/>
      <c r="T599" s="235"/>
      <c r="U599" s="235"/>
      <c r="V599" s="235"/>
      <c r="W599" s="235"/>
      <c r="X599" s="235"/>
      <c r="Y599" s="235"/>
      <c r="Z599" s="235"/>
      <c r="AA599" s="235"/>
    </row>
    <row r="600" spans="1:27" ht="10.5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61"/>
      <c r="L600" s="235"/>
      <c r="M600" s="235"/>
      <c r="N600" s="235"/>
      <c r="O600" s="235"/>
      <c r="P600" s="235"/>
      <c r="Q600" s="298"/>
      <c r="R600" s="234"/>
      <c r="S600" s="235"/>
      <c r="T600" s="235"/>
      <c r="U600" s="235"/>
      <c r="V600" s="235"/>
      <c r="W600" s="235"/>
      <c r="X600" s="235"/>
      <c r="Y600" s="235"/>
      <c r="Z600" s="235"/>
      <c r="AA600" s="235"/>
    </row>
    <row r="601" spans="1:27" ht="10.5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61"/>
      <c r="L601" s="235"/>
      <c r="M601" s="235"/>
      <c r="N601" s="235"/>
      <c r="O601" s="235"/>
      <c r="P601" s="235"/>
      <c r="Q601" s="298"/>
      <c r="R601" s="234"/>
      <c r="S601" s="235"/>
      <c r="T601" s="235"/>
      <c r="U601" s="235"/>
      <c r="V601" s="235"/>
      <c r="W601" s="235"/>
      <c r="X601" s="235"/>
      <c r="Y601" s="235"/>
      <c r="Z601" s="235"/>
      <c r="AA601" s="235"/>
    </row>
    <row r="602" spans="1:27" ht="10.5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61"/>
      <c r="L602" s="235"/>
      <c r="M602" s="235"/>
      <c r="N602" s="235"/>
      <c r="O602" s="235"/>
      <c r="P602" s="235"/>
      <c r="Q602" s="298"/>
      <c r="R602" s="234"/>
      <c r="S602" s="235"/>
      <c r="T602" s="235"/>
      <c r="U602" s="235"/>
      <c r="V602" s="235"/>
      <c r="W602" s="235"/>
      <c r="X602" s="235"/>
      <c r="Y602" s="235"/>
      <c r="Z602" s="235"/>
      <c r="AA602" s="235"/>
    </row>
    <row r="603" spans="1:27" ht="10.5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61"/>
      <c r="L603" s="235"/>
      <c r="M603" s="235"/>
      <c r="N603" s="235"/>
      <c r="O603" s="235"/>
      <c r="P603" s="235"/>
      <c r="Q603" s="298"/>
      <c r="R603" s="234"/>
      <c r="S603" s="235"/>
      <c r="T603" s="235"/>
      <c r="U603" s="235"/>
      <c r="V603" s="235"/>
      <c r="W603" s="235"/>
      <c r="X603" s="235"/>
      <c r="Y603" s="235"/>
      <c r="Z603" s="235"/>
      <c r="AA603" s="235"/>
    </row>
    <row r="604" spans="1:27" ht="10.5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61"/>
      <c r="L604" s="235"/>
      <c r="M604" s="235"/>
      <c r="N604" s="235"/>
      <c r="O604" s="235"/>
      <c r="P604" s="235"/>
      <c r="Q604" s="298"/>
      <c r="R604" s="234"/>
      <c r="S604" s="235"/>
      <c r="T604" s="235"/>
      <c r="U604" s="235"/>
      <c r="V604" s="235"/>
      <c r="W604" s="235"/>
      <c r="X604" s="235"/>
      <c r="Y604" s="235"/>
      <c r="Z604" s="235"/>
      <c r="AA604" s="235"/>
    </row>
    <row r="605" spans="1:27" ht="10.5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61"/>
      <c r="L605" s="235"/>
      <c r="M605" s="235"/>
      <c r="N605" s="235"/>
      <c r="O605" s="235"/>
      <c r="P605" s="235"/>
      <c r="Q605" s="298"/>
      <c r="R605" s="234"/>
      <c r="S605" s="235"/>
      <c r="T605" s="235"/>
      <c r="U605" s="235"/>
      <c r="V605" s="235"/>
      <c r="W605" s="235"/>
      <c r="X605" s="235"/>
      <c r="Y605" s="235"/>
      <c r="Z605" s="235"/>
      <c r="AA605" s="235"/>
    </row>
    <row r="606" spans="1:27" ht="10.5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61"/>
      <c r="L606" s="235"/>
      <c r="M606" s="235"/>
      <c r="N606" s="235"/>
      <c r="O606" s="235"/>
      <c r="P606" s="235"/>
      <c r="Q606" s="298"/>
      <c r="R606" s="234"/>
      <c r="S606" s="235"/>
      <c r="T606" s="235"/>
      <c r="U606" s="235"/>
      <c r="V606" s="235"/>
      <c r="W606" s="235"/>
      <c r="X606" s="235"/>
      <c r="Y606" s="235"/>
      <c r="Z606" s="235"/>
      <c r="AA606" s="235"/>
    </row>
    <row r="607" spans="1:27" ht="10.5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61"/>
      <c r="L607" s="235"/>
      <c r="M607" s="235"/>
      <c r="N607" s="235"/>
      <c r="O607" s="235"/>
      <c r="P607" s="235"/>
      <c r="Q607" s="298"/>
      <c r="R607" s="234"/>
      <c r="S607" s="235"/>
      <c r="T607" s="235"/>
      <c r="U607" s="235"/>
      <c r="V607" s="235"/>
      <c r="W607" s="235"/>
      <c r="X607" s="235"/>
      <c r="Y607" s="235"/>
      <c r="Z607" s="235"/>
      <c r="AA607" s="235"/>
    </row>
    <row r="608" spans="1:27" ht="10.5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61"/>
      <c r="L608" s="235"/>
      <c r="M608" s="235"/>
      <c r="N608" s="235"/>
      <c r="O608" s="235"/>
      <c r="P608" s="235"/>
      <c r="Q608" s="298"/>
      <c r="R608" s="234"/>
      <c r="S608" s="235"/>
      <c r="T608" s="235"/>
      <c r="U608" s="235"/>
      <c r="V608" s="235"/>
      <c r="W608" s="235"/>
      <c r="X608" s="235"/>
      <c r="Y608" s="235"/>
      <c r="Z608" s="235"/>
      <c r="AA608" s="235"/>
    </row>
    <row r="609" spans="1:27" ht="10.5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61"/>
      <c r="L609" s="235"/>
      <c r="M609" s="235"/>
      <c r="N609" s="235"/>
      <c r="O609" s="235"/>
      <c r="P609" s="235"/>
      <c r="Q609" s="298"/>
      <c r="R609" s="234"/>
      <c r="S609" s="235"/>
      <c r="T609" s="235"/>
      <c r="U609" s="235"/>
      <c r="V609" s="235"/>
      <c r="W609" s="235"/>
      <c r="X609" s="235"/>
      <c r="Y609" s="235"/>
      <c r="Z609" s="235"/>
      <c r="AA609" s="235"/>
    </row>
    <row r="610" spans="1:27" ht="10.5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61"/>
      <c r="L610" s="235"/>
      <c r="M610" s="235"/>
      <c r="N610" s="235"/>
      <c r="O610" s="235"/>
      <c r="P610" s="235"/>
      <c r="Q610" s="298"/>
      <c r="R610" s="234"/>
      <c r="S610" s="235"/>
      <c r="T610" s="235"/>
      <c r="U610" s="235"/>
      <c r="V610" s="235"/>
      <c r="W610" s="235"/>
      <c r="X610" s="235"/>
      <c r="Y610" s="235"/>
      <c r="Z610" s="235"/>
      <c r="AA610" s="235"/>
    </row>
    <row r="611" spans="1:27" ht="10.5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61"/>
      <c r="L611" s="235"/>
      <c r="M611" s="235"/>
      <c r="N611" s="235"/>
      <c r="O611" s="235"/>
      <c r="P611" s="235"/>
      <c r="Q611" s="298"/>
      <c r="R611" s="234"/>
      <c r="S611" s="235"/>
      <c r="T611" s="235"/>
      <c r="U611" s="235"/>
      <c r="V611" s="235"/>
      <c r="W611" s="235"/>
      <c r="X611" s="235"/>
      <c r="Y611" s="235"/>
      <c r="Z611" s="235"/>
      <c r="AA611" s="235"/>
    </row>
    <row r="612" spans="1:27" ht="10.5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61"/>
      <c r="L612" s="235"/>
      <c r="M612" s="235"/>
      <c r="N612" s="235"/>
      <c r="O612" s="235"/>
      <c r="P612" s="235"/>
      <c r="Q612" s="298"/>
      <c r="R612" s="234"/>
      <c r="S612" s="235"/>
      <c r="T612" s="235"/>
      <c r="U612" s="235"/>
      <c r="V612" s="235"/>
      <c r="W612" s="235"/>
      <c r="X612" s="235"/>
      <c r="Y612" s="235"/>
      <c r="Z612" s="235"/>
      <c r="AA612" s="235"/>
    </row>
    <row r="613" spans="1:27" ht="10.5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61"/>
      <c r="L613" s="235"/>
      <c r="M613" s="235"/>
      <c r="N613" s="235"/>
      <c r="O613" s="235"/>
      <c r="P613" s="235"/>
      <c r="Q613" s="298"/>
      <c r="R613" s="234"/>
      <c r="S613" s="235"/>
      <c r="T613" s="235"/>
      <c r="U613" s="235"/>
      <c r="V613" s="235"/>
      <c r="W613" s="235"/>
      <c r="X613" s="235"/>
      <c r="Y613" s="235"/>
      <c r="Z613" s="235"/>
      <c r="AA613" s="235"/>
    </row>
    <row r="614" spans="1:27" ht="10.5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61"/>
      <c r="L614" s="235"/>
      <c r="M614" s="235"/>
      <c r="N614" s="235"/>
      <c r="O614" s="235"/>
      <c r="P614" s="235"/>
      <c r="Q614" s="298"/>
      <c r="R614" s="234"/>
      <c r="S614" s="235"/>
      <c r="T614" s="235"/>
      <c r="U614" s="235"/>
      <c r="V614" s="235"/>
      <c r="W614" s="235"/>
      <c r="X614" s="235"/>
      <c r="Y614" s="235"/>
      <c r="Z614" s="235"/>
      <c r="AA614" s="235"/>
    </row>
    <row r="615" spans="1:27" ht="10.5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61"/>
      <c r="L615" s="235"/>
      <c r="M615" s="235"/>
      <c r="N615" s="235"/>
      <c r="O615" s="235"/>
      <c r="P615" s="235"/>
      <c r="Q615" s="298"/>
      <c r="R615" s="234"/>
      <c r="S615" s="235"/>
      <c r="T615" s="235"/>
      <c r="U615" s="235"/>
      <c r="V615" s="235"/>
      <c r="W615" s="235"/>
      <c r="X615" s="235"/>
      <c r="Y615" s="235"/>
      <c r="Z615" s="235"/>
      <c r="AA615" s="235"/>
    </row>
    <row r="616" spans="1:27" ht="10.5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61"/>
      <c r="L616" s="235"/>
      <c r="M616" s="235"/>
      <c r="N616" s="235"/>
      <c r="O616" s="235"/>
      <c r="P616" s="235"/>
      <c r="Q616" s="298"/>
      <c r="R616" s="234"/>
      <c r="S616" s="235"/>
      <c r="T616" s="235"/>
      <c r="U616" s="235"/>
      <c r="V616" s="235"/>
      <c r="W616" s="235"/>
      <c r="X616" s="235"/>
      <c r="Y616" s="235"/>
      <c r="Z616" s="235"/>
      <c r="AA616" s="235"/>
    </row>
    <row r="617" spans="1:27" ht="10.5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61"/>
      <c r="L617" s="235"/>
      <c r="M617" s="235"/>
      <c r="N617" s="235"/>
      <c r="O617" s="235"/>
      <c r="P617" s="235"/>
      <c r="Q617" s="298"/>
      <c r="R617" s="234"/>
      <c r="S617" s="235"/>
      <c r="T617" s="235"/>
      <c r="U617" s="235"/>
      <c r="V617" s="235"/>
      <c r="W617" s="235"/>
      <c r="X617" s="235"/>
      <c r="Y617" s="235"/>
      <c r="Z617" s="235"/>
      <c r="AA617" s="235"/>
    </row>
    <row r="618" spans="1:27" ht="10.5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61"/>
      <c r="L618" s="235"/>
      <c r="M618" s="235"/>
      <c r="N618" s="235"/>
      <c r="O618" s="235"/>
      <c r="P618" s="235"/>
      <c r="Q618" s="298"/>
      <c r="R618" s="234"/>
      <c r="S618" s="235"/>
      <c r="T618" s="235"/>
      <c r="U618" s="235"/>
      <c r="V618" s="235"/>
      <c r="W618" s="235"/>
      <c r="X618" s="235"/>
      <c r="Y618" s="235"/>
      <c r="Z618" s="235"/>
      <c r="AA618" s="235"/>
    </row>
    <row r="619" spans="1:27" ht="10.5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61"/>
      <c r="L619" s="235"/>
      <c r="M619" s="235"/>
      <c r="N619" s="235"/>
      <c r="O619" s="235"/>
      <c r="P619" s="235"/>
      <c r="Q619" s="298"/>
      <c r="R619" s="234"/>
      <c r="S619" s="235"/>
      <c r="T619" s="235"/>
      <c r="U619" s="235"/>
      <c r="V619" s="235"/>
      <c r="W619" s="235"/>
      <c r="X619" s="235"/>
      <c r="Y619" s="235"/>
      <c r="Z619" s="235"/>
      <c r="AA619" s="235"/>
    </row>
    <row r="620" spans="1:27" ht="10.5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61"/>
      <c r="L620" s="235"/>
      <c r="M620" s="235"/>
      <c r="N620" s="235"/>
      <c r="O620" s="235"/>
      <c r="P620" s="235"/>
      <c r="Q620" s="298"/>
      <c r="R620" s="234"/>
      <c r="S620" s="235"/>
      <c r="T620" s="235"/>
      <c r="U620" s="235"/>
      <c r="V620" s="235"/>
      <c r="W620" s="235"/>
      <c r="X620" s="235"/>
      <c r="Y620" s="235"/>
      <c r="Z620" s="235"/>
      <c r="AA620" s="235"/>
    </row>
    <row r="621" spans="1:27" ht="10.5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61"/>
      <c r="L621" s="235"/>
      <c r="M621" s="235"/>
      <c r="N621" s="235"/>
      <c r="O621" s="235"/>
      <c r="P621" s="235"/>
      <c r="Q621" s="298"/>
      <c r="R621" s="234"/>
      <c r="S621" s="235"/>
      <c r="T621" s="235"/>
      <c r="U621" s="235"/>
      <c r="V621" s="235"/>
      <c r="W621" s="235"/>
      <c r="X621" s="235"/>
      <c r="Y621" s="235"/>
      <c r="Z621" s="235"/>
      <c r="AA621" s="235"/>
    </row>
    <row r="622" spans="1:27" ht="10.5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61"/>
      <c r="L622" s="235"/>
      <c r="M622" s="235"/>
      <c r="N622" s="235"/>
      <c r="O622" s="235"/>
      <c r="P622" s="235"/>
      <c r="Q622" s="298"/>
      <c r="R622" s="234"/>
      <c r="S622" s="235"/>
      <c r="T622" s="235"/>
      <c r="U622" s="235"/>
      <c r="V622" s="235"/>
      <c r="W622" s="235"/>
      <c r="X622" s="235"/>
      <c r="Y622" s="235"/>
      <c r="Z622" s="235"/>
      <c r="AA622" s="235"/>
    </row>
    <row r="623" spans="1:27" ht="10.5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61"/>
      <c r="L623" s="235"/>
      <c r="M623" s="235"/>
      <c r="N623" s="235"/>
      <c r="O623" s="235"/>
      <c r="P623" s="235"/>
      <c r="Q623" s="298"/>
      <c r="R623" s="234"/>
      <c r="S623" s="235"/>
      <c r="T623" s="235"/>
      <c r="U623" s="235"/>
      <c r="V623" s="235"/>
      <c r="W623" s="235"/>
      <c r="X623" s="235"/>
      <c r="Y623" s="235"/>
      <c r="Z623" s="235"/>
      <c r="AA623" s="235"/>
    </row>
    <row r="624" spans="1:27" ht="10.5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61"/>
      <c r="L624" s="235"/>
      <c r="M624" s="235"/>
      <c r="N624" s="235"/>
      <c r="O624" s="235"/>
      <c r="P624" s="235"/>
      <c r="Q624" s="298"/>
      <c r="R624" s="234"/>
      <c r="S624" s="235"/>
      <c r="T624" s="235"/>
      <c r="U624" s="235"/>
      <c r="V624" s="235"/>
      <c r="W624" s="235"/>
      <c r="X624" s="235"/>
      <c r="Y624" s="235"/>
      <c r="Z624" s="235"/>
      <c r="AA624" s="235"/>
    </row>
    <row r="625" spans="1:27" ht="10.5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61"/>
      <c r="L625" s="235"/>
      <c r="M625" s="235"/>
      <c r="N625" s="235"/>
      <c r="O625" s="235"/>
      <c r="P625" s="235"/>
      <c r="Q625" s="298"/>
      <c r="R625" s="234"/>
      <c r="S625" s="235"/>
      <c r="T625" s="235"/>
      <c r="U625" s="235"/>
      <c r="V625" s="235"/>
      <c r="W625" s="235"/>
      <c r="X625" s="235"/>
      <c r="Y625" s="235"/>
      <c r="Z625" s="235"/>
      <c r="AA625" s="235"/>
    </row>
    <row r="626" spans="1:27" ht="10.5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61"/>
      <c r="L626" s="235"/>
      <c r="M626" s="235"/>
      <c r="N626" s="235"/>
      <c r="O626" s="235"/>
      <c r="P626" s="235"/>
      <c r="Q626" s="298"/>
      <c r="R626" s="234"/>
      <c r="S626" s="235"/>
      <c r="T626" s="235"/>
      <c r="U626" s="235"/>
      <c r="V626" s="235"/>
      <c r="W626" s="235"/>
      <c r="X626" s="235"/>
      <c r="Y626" s="235"/>
      <c r="Z626" s="235"/>
      <c r="AA626" s="235"/>
    </row>
    <row r="627" spans="1:27" ht="10.5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61"/>
      <c r="L627" s="235"/>
      <c r="M627" s="235"/>
      <c r="N627" s="235"/>
      <c r="O627" s="235"/>
      <c r="P627" s="235"/>
      <c r="Q627" s="298"/>
      <c r="R627" s="234"/>
      <c r="S627" s="235"/>
      <c r="T627" s="235"/>
      <c r="U627" s="235"/>
      <c r="V627" s="235"/>
      <c r="W627" s="235"/>
      <c r="X627" s="235"/>
      <c r="Y627" s="235"/>
      <c r="Z627" s="235"/>
      <c r="AA627" s="235"/>
    </row>
    <row r="628" spans="1:27" ht="10.5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61"/>
      <c r="L628" s="235"/>
      <c r="M628" s="235"/>
      <c r="N628" s="235"/>
      <c r="O628" s="235"/>
      <c r="P628" s="235"/>
      <c r="Q628" s="298"/>
      <c r="R628" s="234"/>
      <c r="S628" s="235"/>
      <c r="T628" s="235"/>
      <c r="U628" s="235"/>
      <c r="V628" s="235"/>
      <c r="W628" s="235"/>
      <c r="X628" s="235"/>
      <c r="Y628" s="235"/>
      <c r="Z628" s="235"/>
      <c r="AA628" s="235"/>
    </row>
    <row r="629" spans="1:27" ht="10.5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61"/>
      <c r="L629" s="235"/>
      <c r="M629" s="235"/>
      <c r="N629" s="235"/>
      <c r="O629" s="235"/>
      <c r="P629" s="235"/>
      <c r="Q629" s="298"/>
      <c r="R629" s="234"/>
      <c r="S629" s="235"/>
      <c r="T629" s="235"/>
      <c r="U629" s="235"/>
      <c r="V629" s="235"/>
      <c r="W629" s="235"/>
      <c r="X629" s="235"/>
      <c r="Y629" s="235"/>
      <c r="Z629" s="235"/>
      <c r="AA629" s="235"/>
    </row>
    <row r="630" spans="1:27" ht="10.5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61"/>
      <c r="L630" s="235"/>
      <c r="M630" s="235"/>
      <c r="N630" s="235"/>
      <c r="O630" s="235"/>
      <c r="P630" s="235"/>
      <c r="Q630" s="298"/>
      <c r="R630" s="234"/>
      <c r="S630" s="235"/>
      <c r="T630" s="235"/>
      <c r="U630" s="235"/>
      <c r="V630" s="235"/>
      <c r="W630" s="235"/>
      <c r="X630" s="235"/>
      <c r="Y630" s="235"/>
      <c r="Z630" s="235"/>
      <c r="AA630" s="235"/>
    </row>
    <row r="631" spans="1:27" ht="10.5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61"/>
      <c r="L631" s="235"/>
      <c r="M631" s="235"/>
      <c r="N631" s="235"/>
      <c r="O631" s="235"/>
      <c r="P631" s="235"/>
      <c r="Q631" s="298"/>
      <c r="R631" s="234"/>
      <c r="S631" s="235"/>
      <c r="T631" s="235"/>
      <c r="U631" s="235"/>
      <c r="V631" s="235"/>
      <c r="W631" s="235"/>
      <c r="X631" s="235"/>
      <c r="Y631" s="235"/>
      <c r="Z631" s="235"/>
      <c r="AA631" s="235"/>
    </row>
    <row r="632" spans="1:27" ht="10.5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61"/>
      <c r="L632" s="235"/>
      <c r="M632" s="235"/>
      <c r="N632" s="235"/>
      <c r="O632" s="235"/>
      <c r="P632" s="235"/>
      <c r="Q632" s="298"/>
      <c r="R632" s="234"/>
      <c r="S632" s="235"/>
      <c r="T632" s="235"/>
      <c r="U632" s="235"/>
      <c r="V632" s="235"/>
      <c r="W632" s="235"/>
      <c r="X632" s="235"/>
      <c r="Y632" s="235"/>
      <c r="Z632" s="235"/>
      <c r="AA632" s="235"/>
    </row>
    <row r="633" spans="1:27" ht="10.5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61"/>
      <c r="L633" s="235"/>
      <c r="M633" s="235"/>
      <c r="N633" s="235"/>
      <c r="O633" s="235"/>
      <c r="P633" s="235"/>
      <c r="Q633" s="298"/>
      <c r="R633" s="234"/>
      <c r="S633" s="235"/>
      <c r="T633" s="235"/>
      <c r="U633" s="235"/>
      <c r="V633" s="235"/>
      <c r="W633" s="235"/>
      <c r="X633" s="235"/>
      <c r="Y633" s="235"/>
      <c r="Z633" s="235"/>
      <c r="AA633" s="235"/>
    </row>
    <row r="634" spans="1:27" ht="10.5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61"/>
      <c r="L634" s="235"/>
      <c r="M634" s="235"/>
      <c r="N634" s="235"/>
      <c r="O634" s="235"/>
      <c r="P634" s="235"/>
      <c r="Q634" s="298"/>
      <c r="R634" s="234"/>
      <c r="S634" s="235"/>
      <c r="T634" s="235"/>
      <c r="U634" s="235"/>
      <c r="V634" s="235"/>
      <c r="W634" s="235"/>
      <c r="X634" s="235"/>
      <c r="Y634" s="235"/>
      <c r="Z634" s="235"/>
      <c r="AA634" s="235"/>
    </row>
    <row r="635" spans="1:27" ht="10.5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61"/>
      <c r="L635" s="235"/>
      <c r="M635" s="235"/>
      <c r="N635" s="235"/>
      <c r="O635" s="235"/>
      <c r="P635" s="235"/>
      <c r="Q635" s="298"/>
      <c r="R635" s="234"/>
      <c r="S635" s="235"/>
      <c r="T635" s="235"/>
      <c r="U635" s="235"/>
      <c r="V635" s="235"/>
      <c r="W635" s="235"/>
      <c r="X635" s="235"/>
      <c r="Y635" s="235"/>
      <c r="Z635" s="235"/>
      <c r="AA635" s="235"/>
    </row>
    <row r="636" spans="1:27" ht="10.5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61"/>
      <c r="L636" s="235"/>
      <c r="M636" s="235"/>
      <c r="N636" s="235"/>
      <c r="O636" s="235"/>
      <c r="P636" s="235"/>
      <c r="Q636" s="298"/>
      <c r="R636" s="234"/>
      <c r="S636" s="235"/>
      <c r="T636" s="235"/>
      <c r="U636" s="235"/>
      <c r="V636" s="235"/>
      <c r="W636" s="235"/>
      <c r="X636" s="235"/>
      <c r="Y636" s="235"/>
      <c r="Z636" s="235"/>
      <c r="AA636" s="235"/>
    </row>
    <row r="637" spans="1:27" ht="10.5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61"/>
      <c r="L637" s="235"/>
      <c r="M637" s="235"/>
      <c r="N637" s="235"/>
      <c r="O637" s="235"/>
      <c r="P637" s="235"/>
      <c r="Q637" s="298"/>
      <c r="R637" s="234"/>
      <c r="S637" s="235"/>
      <c r="T637" s="235"/>
      <c r="U637" s="235"/>
      <c r="V637" s="235"/>
      <c r="W637" s="235"/>
      <c r="X637" s="235"/>
      <c r="Y637" s="235"/>
      <c r="Z637" s="235"/>
      <c r="AA637" s="235"/>
    </row>
    <row r="638" spans="1:27" ht="10.5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61"/>
      <c r="L638" s="235"/>
      <c r="M638" s="235"/>
      <c r="N638" s="235"/>
      <c r="O638" s="235"/>
      <c r="P638" s="235"/>
      <c r="Q638" s="298"/>
      <c r="R638" s="234"/>
      <c r="S638" s="235"/>
      <c r="T638" s="235"/>
      <c r="U638" s="235"/>
      <c r="V638" s="235"/>
      <c r="W638" s="235"/>
      <c r="X638" s="235"/>
      <c r="Y638" s="235"/>
      <c r="Z638" s="235"/>
      <c r="AA638" s="235"/>
    </row>
    <row r="639" spans="1:27" ht="10.5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61"/>
      <c r="L639" s="235"/>
      <c r="M639" s="235"/>
      <c r="N639" s="235"/>
      <c r="O639" s="235"/>
      <c r="P639" s="235"/>
      <c r="Q639" s="298"/>
      <c r="R639" s="234"/>
      <c r="S639" s="235"/>
      <c r="T639" s="235"/>
      <c r="U639" s="235"/>
      <c r="V639" s="235"/>
      <c r="W639" s="235"/>
      <c r="X639" s="235"/>
      <c r="Y639" s="235"/>
      <c r="Z639" s="235"/>
      <c r="AA639" s="235"/>
    </row>
    <row r="640" spans="1:27" ht="10.5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61"/>
      <c r="L640" s="235"/>
      <c r="M640" s="235"/>
      <c r="N640" s="235"/>
      <c r="O640" s="235"/>
      <c r="P640" s="235"/>
      <c r="Q640" s="298"/>
      <c r="R640" s="234"/>
      <c r="S640" s="235"/>
      <c r="T640" s="235"/>
      <c r="U640" s="235"/>
      <c r="V640" s="235"/>
      <c r="W640" s="235"/>
      <c r="X640" s="235"/>
      <c r="Y640" s="235"/>
      <c r="Z640" s="235"/>
      <c r="AA640" s="235"/>
    </row>
    <row r="641" spans="1:27" ht="10.5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61"/>
      <c r="L641" s="235"/>
      <c r="M641" s="235"/>
      <c r="N641" s="235"/>
      <c r="O641" s="235"/>
      <c r="P641" s="235"/>
      <c r="Q641" s="298"/>
      <c r="R641" s="234"/>
      <c r="S641" s="235"/>
      <c r="T641" s="235"/>
      <c r="U641" s="235"/>
      <c r="V641" s="235"/>
      <c r="W641" s="235"/>
      <c r="X641" s="235"/>
      <c r="Y641" s="235"/>
      <c r="Z641" s="235"/>
      <c r="AA641" s="235"/>
    </row>
    <row r="642" spans="1:27" ht="10.5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61"/>
      <c r="L642" s="235"/>
      <c r="M642" s="235"/>
      <c r="N642" s="235"/>
      <c r="O642" s="235"/>
      <c r="P642" s="235"/>
      <c r="Q642" s="298"/>
      <c r="R642" s="234"/>
      <c r="S642" s="235"/>
      <c r="T642" s="235"/>
      <c r="U642" s="235"/>
      <c r="V642" s="235"/>
      <c r="W642" s="235"/>
      <c r="X642" s="235"/>
      <c r="Y642" s="235"/>
      <c r="Z642" s="235"/>
      <c r="AA642" s="235"/>
    </row>
    <row r="643" spans="1:27" ht="10.5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61"/>
      <c r="L643" s="235"/>
      <c r="M643" s="235"/>
      <c r="N643" s="235"/>
      <c r="O643" s="235"/>
      <c r="P643" s="235"/>
      <c r="Q643" s="298"/>
      <c r="R643" s="234"/>
      <c r="S643" s="235"/>
      <c r="T643" s="235"/>
      <c r="U643" s="235"/>
      <c r="V643" s="235"/>
      <c r="W643" s="235"/>
      <c r="X643" s="235"/>
      <c r="Y643" s="235"/>
      <c r="Z643" s="235"/>
      <c r="AA643" s="235"/>
    </row>
    <row r="644" spans="1:27" ht="10.5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61"/>
      <c r="L644" s="235"/>
      <c r="M644" s="235"/>
      <c r="N644" s="235"/>
      <c r="O644" s="235"/>
      <c r="P644" s="235"/>
      <c r="Q644" s="298"/>
      <c r="R644" s="234"/>
      <c r="S644" s="235"/>
      <c r="T644" s="235"/>
      <c r="U644" s="235"/>
      <c r="V644" s="235"/>
      <c r="W644" s="235"/>
      <c r="X644" s="235"/>
      <c r="Y644" s="235"/>
      <c r="Z644" s="235"/>
      <c r="AA644" s="235"/>
    </row>
    <row r="645" spans="1:27" ht="10.5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61"/>
      <c r="L645" s="235"/>
      <c r="M645" s="235"/>
      <c r="N645" s="235"/>
      <c r="O645" s="235"/>
      <c r="P645" s="235"/>
      <c r="Q645" s="298"/>
      <c r="R645" s="234"/>
      <c r="S645" s="235"/>
      <c r="T645" s="235"/>
      <c r="U645" s="235"/>
      <c r="V645" s="235"/>
      <c r="W645" s="235"/>
      <c r="X645" s="235"/>
      <c r="Y645" s="235"/>
      <c r="Z645" s="235"/>
      <c r="AA645" s="235"/>
    </row>
    <row r="646" spans="1:27" ht="10.5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61"/>
      <c r="L646" s="235"/>
      <c r="M646" s="235"/>
      <c r="N646" s="235"/>
      <c r="O646" s="235"/>
      <c r="P646" s="235"/>
      <c r="Q646" s="298"/>
      <c r="R646" s="234"/>
      <c r="S646" s="235"/>
      <c r="T646" s="235"/>
      <c r="U646" s="235"/>
      <c r="V646" s="235"/>
      <c r="W646" s="235"/>
      <c r="X646" s="235"/>
      <c r="Y646" s="235"/>
      <c r="Z646" s="235"/>
      <c r="AA646" s="235"/>
    </row>
    <row r="647" spans="1:27" ht="10.5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61"/>
      <c r="L647" s="235"/>
      <c r="M647" s="235"/>
      <c r="N647" s="235"/>
      <c r="O647" s="235"/>
      <c r="P647" s="235"/>
      <c r="Q647" s="298"/>
      <c r="R647" s="234"/>
      <c r="S647" s="235"/>
      <c r="T647" s="235"/>
      <c r="U647" s="235"/>
      <c r="V647" s="235"/>
      <c r="W647" s="235"/>
      <c r="X647" s="235"/>
      <c r="Y647" s="235"/>
      <c r="Z647" s="235"/>
      <c r="AA647" s="235"/>
    </row>
    <row r="648" spans="1:27" ht="10.5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61"/>
      <c r="L648" s="235"/>
      <c r="M648" s="235"/>
      <c r="N648" s="235"/>
      <c r="O648" s="235"/>
      <c r="P648" s="235"/>
      <c r="Q648" s="298"/>
      <c r="R648" s="234"/>
      <c r="S648" s="235"/>
      <c r="T648" s="235"/>
      <c r="U648" s="235"/>
      <c r="V648" s="235"/>
      <c r="W648" s="235"/>
      <c r="X648" s="235"/>
      <c r="Y648" s="235"/>
      <c r="Z648" s="235"/>
      <c r="AA648" s="235"/>
    </row>
    <row r="649" spans="1:27" ht="10.5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61"/>
      <c r="L649" s="235"/>
      <c r="M649" s="235"/>
      <c r="N649" s="235"/>
      <c r="O649" s="235"/>
      <c r="P649" s="235"/>
      <c r="Q649" s="298"/>
      <c r="R649" s="234"/>
      <c r="S649" s="235"/>
      <c r="T649" s="235"/>
      <c r="U649" s="235"/>
      <c r="V649" s="235"/>
      <c r="W649" s="235"/>
      <c r="X649" s="235"/>
      <c r="Y649" s="235"/>
      <c r="Z649" s="235"/>
      <c r="AA649" s="235"/>
    </row>
    <row r="650" spans="1:27" ht="10.5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61"/>
      <c r="L650" s="235"/>
      <c r="M650" s="235"/>
      <c r="N650" s="235"/>
      <c r="O650" s="235"/>
      <c r="P650" s="235"/>
      <c r="Q650" s="298"/>
      <c r="R650" s="234"/>
      <c r="S650" s="235"/>
      <c r="T650" s="235"/>
      <c r="U650" s="235"/>
      <c r="V650" s="235"/>
      <c r="W650" s="235"/>
      <c r="X650" s="235"/>
      <c r="Y650" s="235"/>
      <c r="Z650" s="235"/>
      <c r="AA650" s="235"/>
    </row>
    <row r="651" spans="1:27" ht="10.5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61"/>
      <c r="L651" s="235"/>
      <c r="M651" s="235"/>
      <c r="N651" s="235"/>
      <c r="O651" s="235"/>
      <c r="P651" s="235"/>
      <c r="Q651" s="298"/>
      <c r="R651" s="234"/>
      <c r="S651" s="235"/>
      <c r="T651" s="235"/>
      <c r="U651" s="235"/>
      <c r="V651" s="235"/>
      <c r="W651" s="235"/>
      <c r="X651" s="235"/>
      <c r="Y651" s="235"/>
      <c r="Z651" s="235"/>
      <c r="AA651" s="235"/>
    </row>
    <row r="652" spans="1:27" ht="10.5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61"/>
      <c r="L652" s="235"/>
      <c r="M652" s="235"/>
      <c r="N652" s="235"/>
      <c r="O652" s="235"/>
      <c r="P652" s="235"/>
      <c r="Q652" s="298"/>
      <c r="R652" s="234"/>
      <c r="S652" s="235"/>
      <c r="T652" s="235"/>
      <c r="U652" s="235"/>
      <c r="V652" s="235"/>
      <c r="W652" s="235"/>
      <c r="X652" s="235"/>
      <c r="Y652" s="235"/>
      <c r="Z652" s="235"/>
      <c r="AA652" s="235"/>
    </row>
    <row r="653" spans="1:27" ht="10.5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61"/>
      <c r="L653" s="235"/>
      <c r="M653" s="235"/>
      <c r="N653" s="235"/>
      <c r="O653" s="235"/>
      <c r="P653" s="235"/>
      <c r="Q653" s="298"/>
      <c r="R653" s="234"/>
      <c r="S653" s="235"/>
      <c r="T653" s="235"/>
      <c r="U653" s="235"/>
      <c r="V653" s="235"/>
      <c r="W653" s="235"/>
      <c r="X653" s="235"/>
      <c r="Y653" s="235"/>
      <c r="Z653" s="235"/>
      <c r="AA653" s="235"/>
    </row>
    <row r="654" spans="1:27" ht="10.5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61"/>
      <c r="L654" s="235"/>
      <c r="M654" s="235"/>
      <c r="N654" s="235"/>
      <c r="O654" s="235"/>
      <c r="P654" s="235"/>
      <c r="Q654" s="298"/>
      <c r="R654" s="234"/>
      <c r="S654" s="235"/>
      <c r="T654" s="235"/>
      <c r="U654" s="235"/>
      <c r="V654" s="235"/>
      <c r="W654" s="235"/>
      <c r="X654" s="235"/>
      <c r="Y654" s="235"/>
      <c r="Z654" s="235"/>
      <c r="AA654" s="235"/>
    </row>
    <row r="655" spans="1:27" ht="10.5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61"/>
      <c r="L655" s="235"/>
      <c r="M655" s="235"/>
      <c r="N655" s="235"/>
      <c r="O655" s="235"/>
      <c r="P655" s="235"/>
      <c r="Q655" s="298"/>
      <c r="R655" s="234"/>
      <c r="S655" s="235"/>
      <c r="T655" s="235"/>
      <c r="U655" s="235"/>
      <c r="V655" s="235"/>
      <c r="W655" s="235"/>
      <c r="X655" s="235"/>
      <c r="Y655" s="235"/>
      <c r="Z655" s="235"/>
      <c r="AA655" s="235"/>
    </row>
    <row r="656" spans="1:27" ht="10.5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61"/>
      <c r="L656" s="235"/>
      <c r="M656" s="235"/>
      <c r="N656" s="235"/>
      <c r="O656" s="235"/>
      <c r="P656" s="235"/>
      <c r="Q656" s="298"/>
      <c r="R656" s="234"/>
      <c r="S656" s="235"/>
      <c r="T656" s="235"/>
      <c r="U656" s="235"/>
      <c r="V656" s="235"/>
      <c r="W656" s="235"/>
      <c r="X656" s="235"/>
      <c r="Y656" s="235"/>
      <c r="Z656" s="235"/>
      <c r="AA656" s="235"/>
    </row>
    <row r="657" spans="1:27" ht="10.5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61"/>
      <c r="L657" s="235"/>
      <c r="M657" s="235"/>
      <c r="N657" s="235"/>
      <c r="O657" s="235"/>
      <c r="P657" s="235"/>
      <c r="Q657" s="298"/>
      <c r="R657" s="234"/>
      <c r="S657" s="235"/>
      <c r="T657" s="235"/>
      <c r="U657" s="235"/>
      <c r="V657" s="235"/>
      <c r="W657" s="235"/>
      <c r="X657" s="235"/>
      <c r="Y657" s="235"/>
      <c r="Z657" s="235"/>
      <c r="AA657" s="235"/>
    </row>
    <row r="658" spans="1:27" ht="10.5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61"/>
      <c r="L658" s="235"/>
      <c r="M658" s="235"/>
      <c r="N658" s="235"/>
      <c r="O658" s="235"/>
      <c r="P658" s="235"/>
      <c r="Q658" s="298"/>
      <c r="R658" s="234"/>
      <c r="S658" s="235"/>
      <c r="T658" s="235"/>
      <c r="U658" s="235"/>
      <c r="V658" s="235"/>
      <c r="W658" s="235"/>
      <c r="X658" s="235"/>
      <c r="Y658" s="235"/>
      <c r="Z658" s="235"/>
      <c r="AA658" s="235"/>
    </row>
    <row r="659" spans="1:27" ht="10.5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61"/>
      <c r="L659" s="235"/>
      <c r="M659" s="235"/>
      <c r="N659" s="235"/>
      <c r="O659" s="235"/>
      <c r="P659" s="235"/>
      <c r="Q659" s="298"/>
      <c r="R659" s="234"/>
      <c r="S659" s="235"/>
      <c r="T659" s="235"/>
      <c r="U659" s="235"/>
      <c r="V659" s="235"/>
      <c r="W659" s="235"/>
      <c r="X659" s="235"/>
      <c r="Y659" s="235"/>
      <c r="Z659" s="235"/>
      <c r="AA659" s="235"/>
    </row>
    <row r="660" spans="1:27" ht="10.5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61"/>
      <c r="L660" s="235"/>
      <c r="M660" s="235"/>
      <c r="N660" s="235"/>
      <c r="O660" s="235"/>
      <c r="P660" s="235"/>
      <c r="Q660" s="298"/>
      <c r="R660" s="234"/>
      <c r="S660" s="235"/>
      <c r="T660" s="235"/>
      <c r="U660" s="235"/>
      <c r="V660" s="235"/>
      <c r="W660" s="235"/>
      <c r="X660" s="235"/>
      <c r="Y660" s="235"/>
      <c r="Z660" s="235"/>
      <c r="AA660" s="235"/>
    </row>
    <row r="661" spans="1:27" ht="10.5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61"/>
      <c r="L661" s="235"/>
      <c r="M661" s="235"/>
      <c r="N661" s="235"/>
      <c r="O661" s="235"/>
      <c r="P661" s="235"/>
      <c r="Q661" s="298"/>
      <c r="R661" s="234"/>
      <c r="S661" s="235"/>
      <c r="T661" s="235"/>
      <c r="U661" s="235"/>
      <c r="V661" s="235"/>
      <c r="W661" s="235"/>
      <c r="X661" s="235"/>
      <c r="Y661" s="235"/>
      <c r="Z661" s="235"/>
      <c r="AA661" s="235"/>
    </row>
    <row r="662" spans="1:27" ht="10.5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61"/>
      <c r="L662" s="235"/>
      <c r="M662" s="235"/>
      <c r="N662" s="235"/>
      <c r="O662" s="235"/>
      <c r="P662" s="235"/>
      <c r="Q662" s="298"/>
      <c r="R662" s="234"/>
      <c r="S662" s="235"/>
      <c r="T662" s="235"/>
      <c r="U662" s="235"/>
      <c r="V662" s="235"/>
      <c r="W662" s="235"/>
      <c r="X662" s="235"/>
      <c r="Y662" s="235"/>
      <c r="Z662" s="235"/>
      <c r="AA662" s="235"/>
    </row>
    <row r="663" spans="1:27" ht="10.5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61"/>
      <c r="L663" s="235"/>
      <c r="M663" s="235"/>
      <c r="N663" s="235"/>
      <c r="O663" s="235"/>
      <c r="P663" s="235"/>
      <c r="Q663" s="298"/>
      <c r="R663" s="234"/>
      <c r="S663" s="235"/>
      <c r="T663" s="235"/>
      <c r="U663" s="235"/>
      <c r="V663" s="235"/>
      <c r="W663" s="235"/>
      <c r="X663" s="235"/>
      <c r="Y663" s="235"/>
      <c r="Z663" s="235"/>
      <c r="AA663" s="235"/>
    </row>
    <row r="664" spans="1:27" ht="10.5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61"/>
      <c r="L664" s="235"/>
      <c r="M664" s="235"/>
      <c r="N664" s="235"/>
      <c r="O664" s="235"/>
      <c r="P664" s="235"/>
      <c r="Q664" s="298"/>
      <c r="R664" s="234"/>
      <c r="S664" s="235"/>
      <c r="T664" s="235"/>
      <c r="U664" s="235"/>
      <c r="V664" s="235"/>
      <c r="W664" s="235"/>
      <c r="X664" s="235"/>
      <c r="Y664" s="235"/>
      <c r="Z664" s="235"/>
      <c r="AA664" s="235"/>
    </row>
    <row r="665" spans="1:27" ht="10.5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61"/>
      <c r="L665" s="235"/>
      <c r="M665" s="235"/>
      <c r="N665" s="235"/>
      <c r="O665" s="235"/>
      <c r="P665" s="235"/>
      <c r="Q665" s="298"/>
      <c r="R665" s="234"/>
      <c r="S665" s="235"/>
      <c r="T665" s="235"/>
      <c r="U665" s="235"/>
      <c r="V665" s="235"/>
      <c r="W665" s="235"/>
      <c r="X665" s="235"/>
      <c r="Y665" s="235"/>
      <c r="Z665" s="235"/>
      <c r="AA665" s="235"/>
    </row>
    <row r="666" spans="1:27" ht="10.5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61"/>
      <c r="L666" s="235"/>
      <c r="M666" s="235"/>
      <c r="N666" s="235"/>
      <c r="O666" s="235"/>
      <c r="P666" s="235"/>
      <c r="Q666" s="298"/>
      <c r="R666" s="234"/>
      <c r="S666" s="235"/>
      <c r="T666" s="235"/>
      <c r="U666" s="235"/>
      <c r="V666" s="235"/>
      <c r="W666" s="235"/>
      <c r="X666" s="235"/>
      <c r="Y666" s="235"/>
      <c r="Z666" s="235"/>
      <c r="AA666" s="235"/>
    </row>
    <row r="667" spans="1:27" ht="10.5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61"/>
      <c r="L667" s="235"/>
      <c r="M667" s="235"/>
      <c r="N667" s="235"/>
      <c r="O667" s="235"/>
      <c r="P667" s="235"/>
      <c r="Q667" s="298"/>
      <c r="R667" s="234"/>
      <c r="S667" s="235"/>
      <c r="T667" s="235"/>
      <c r="U667" s="235"/>
      <c r="V667" s="235"/>
      <c r="W667" s="235"/>
      <c r="X667" s="235"/>
      <c r="Y667" s="235"/>
      <c r="Z667" s="235"/>
      <c r="AA667" s="235"/>
    </row>
    <row r="668" spans="1:27" ht="10.5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61"/>
      <c r="L668" s="235"/>
      <c r="M668" s="235"/>
      <c r="N668" s="235"/>
      <c r="O668" s="235"/>
      <c r="P668" s="235"/>
      <c r="Q668" s="298"/>
      <c r="R668" s="234"/>
      <c r="S668" s="235"/>
      <c r="T668" s="235"/>
      <c r="U668" s="235"/>
      <c r="V668" s="235"/>
      <c r="W668" s="235"/>
      <c r="X668" s="235"/>
      <c r="Y668" s="235"/>
      <c r="Z668" s="235"/>
      <c r="AA668" s="235"/>
    </row>
    <row r="669" spans="1:27" ht="10.5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61"/>
      <c r="L669" s="235"/>
      <c r="M669" s="235"/>
      <c r="N669" s="235"/>
      <c r="O669" s="235"/>
      <c r="P669" s="235"/>
      <c r="Q669" s="298"/>
      <c r="R669" s="234"/>
      <c r="S669" s="235"/>
      <c r="T669" s="235"/>
      <c r="U669" s="235"/>
      <c r="V669" s="235"/>
      <c r="W669" s="235"/>
      <c r="X669" s="235"/>
      <c r="Y669" s="235"/>
      <c r="Z669" s="235"/>
      <c r="AA669" s="235"/>
    </row>
    <row r="670" spans="1:27" ht="10.5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61"/>
      <c r="L670" s="235"/>
      <c r="M670" s="235"/>
      <c r="N670" s="235"/>
      <c r="O670" s="235"/>
      <c r="P670" s="235"/>
      <c r="Q670" s="298"/>
      <c r="R670" s="234"/>
      <c r="S670" s="235"/>
      <c r="T670" s="235"/>
      <c r="U670" s="235"/>
      <c r="V670" s="235"/>
      <c r="W670" s="235"/>
      <c r="X670" s="235"/>
      <c r="Y670" s="235"/>
      <c r="Z670" s="235"/>
      <c r="AA670" s="235"/>
    </row>
    <row r="671" spans="1:27" ht="10.5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61"/>
      <c r="L671" s="235"/>
      <c r="M671" s="235"/>
      <c r="N671" s="235"/>
      <c r="O671" s="235"/>
      <c r="P671" s="235"/>
      <c r="Q671" s="298"/>
      <c r="R671" s="234"/>
      <c r="S671" s="235"/>
      <c r="T671" s="235"/>
      <c r="U671" s="235"/>
      <c r="V671" s="235"/>
      <c r="W671" s="235"/>
      <c r="X671" s="235"/>
      <c r="Y671" s="235"/>
      <c r="Z671" s="235"/>
      <c r="AA671" s="235"/>
    </row>
    <row r="672" spans="1:27" ht="10.5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61"/>
      <c r="L672" s="235"/>
      <c r="M672" s="235"/>
      <c r="N672" s="235"/>
      <c r="O672" s="235"/>
      <c r="P672" s="235"/>
      <c r="Q672" s="298"/>
      <c r="R672" s="234"/>
      <c r="S672" s="235"/>
      <c r="T672" s="235"/>
      <c r="U672" s="235"/>
      <c r="V672" s="235"/>
      <c r="W672" s="235"/>
      <c r="X672" s="235"/>
      <c r="Y672" s="235"/>
      <c r="Z672" s="235"/>
      <c r="AA672" s="235"/>
    </row>
    <row r="673" spans="1:27" ht="10.5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61"/>
      <c r="L673" s="235"/>
      <c r="M673" s="235"/>
      <c r="N673" s="235"/>
      <c r="O673" s="235"/>
      <c r="P673" s="235"/>
      <c r="Q673" s="298"/>
      <c r="R673" s="234"/>
      <c r="S673" s="235"/>
      <c r="T673" s="235"/>
      <c r="U673" s="235"/>
      <c r="V673" s="235"/>
      <c r="W673" s="235"/>
      <c r="X673" s="235"/>
      <c r="Y673" s="235"/>
      <c r="Z673" s="235"/>
      <c r="AA673" s="235"/>
    </row>
    <row r="674" spans="1:27" ht="10.5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61"/>
      <c r="L674" s="235"/>
      <c r="M674" s="235"/>
      <c r="N674" s="235"/>
      <c r="O674" s="235"/>
      <c r="P674" s="235"/>
      <c r="Q674" s="298"/>
      <c r="R674" s="234"/>
      <c r="S674" s="235"/>
      <c r="T674" s="235"/>
      <c r="U674" s="235"/>
      <c r="V674" s="235"/>
      <c r="W674" s="235"/>
      <c r="X674" s="235"/>
      <c r="Y674" s="235"/>
      <c r="Z674" s="235"/>
      <c r="AA674" s="235"/>
    </row>
    <row r="675" spans="1:27" ht="10.5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61"/>
      <c r="L675" s="235"/>
      <c r="M675" s="235"/>
      <c r="N675" s="235"/>
      <c r="O675" s="235"/>
      <c r="P675" s="235"/>
      <c r="Q675" s="298"/>
      <c r="R675" s="234"/>
      <c r="S675" s="235"/>
      <c r="T675" s="235"/>
      <c r="U675" s="235"/>
      <c r="V675" s="235"/>
      <c r="W675" s="235"/>
      <c r="X675" s="235"/>
      <c r="Y675" s="235"/>
      <c r="Z675" s="235"/>
      <c r="AA675" s="235"/>
    </row>
    <row r="676" spans="1:27" ht="10.5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61"/>
      <c r="L676" s="235"/>
      <c r="M676" s="235"/>
      <c r="N676" s="235"/>
      <c r="O676" s="235"/>
      <c r="P676" s="235"/>
      <c r="Q676" s="298"/>
      <c r="R676" s="234"/>
      <c r="S676" s="235"/>
      <c r="T676" s="235"/>
      <c r="U676" s="235"/>
      <c r="V676" s="235"/>
      <c r="W676" s="235"/>
      <c r="X676" s="235"/>
      <c r="Y676" s="235"/>
      <c r="Z676" s="235"/>
      <c r="AA676" s="235"/>
    </row>
    <row r="677" spans="1:27" ht="10.5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61"/>
      <c r="L677" s="235"/>
      <c r="M677" s="235"/>
      <c r="N677" s="235"/>
      <c r="O677" s="235"/>
      <c r="P677" s="235"/>
      <c r="Q677" s="298"/>
      <c r="R677" s="234"/>
      <c r="S677" s="235"/>
      <c r="T677" s="235"/>
      <c r="U677" s="235"/>
      <c r="V677" s="235"/>
      <c r="W677" s="235"/>
      <c r="X677" s="235"/>
      <c r="Y677" s="235"/>
      <c r="Z677" s="235"/>
      <c r="AA677" s="235"/>
    </row>
    <row r="678" spans="1:27" ht="10.5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61"/>
      <c r="L678" s="235"/>
      <c r="M678" s="235"/>
      <c r="N678" s="235"/>
      <c r="O678" s="235"/>
      <c r="P678" s="235"/>
      <c r="Q678" s="298"/>
      <c r="R678" s="234"/>
      <c r="S678" s="235"/>
      <c r="T678" s="235"/>
      <c r="U678" s="235"/>
      <c r="V678" s="235"/>
      <c r="W678" s="235"/>
      <c r="X678" s="235"/>
      <c r="Y678" s="235"/>
      <c r="Z678" s="235"/>
      <c r="AA678" s="235"/>
    </row>
    <row r="679" spans="1:27" ht="10.5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61"/>
      <c r="L679" s="235"/>
      <c r="M679" s="235"/>
      <c r="N679" s="235"/>
      <c r="O679" s="235"/>
      <c r="P679" s="235"/>
      <c r="Q679" s="298"/>
      <c r="R679" s="234"/>
      <c r="S679" s="235"/>
      <c r="T679" s="235"/>
      <c r="U679" s="235"/>
      <c r="V679" s="235"/>
      <c r="W679" s="235"/>
      <c r="X679" s="235"/>
      <c r="Y679" s="235"/>
      <c r="Z679" s="235"/>
      <c r="AA679" s="235"/>
    </row>
    <row r="680" spans="1:27" ht="10.5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61"/>
      <c r="L680" s="235"/>
      <c r="M680" s="235"/>
      <c r="N680" s="235"/>
      <c r="O680" s="235"/>
      <c r="P680" s="235"/>
      <c r="Q680" s="298"/>
      <c r="R680" s="234"/>
      <c r="S680" s="235"/>
      <c r="T680" s="235"/>
      <c r="U680" s="235"/>
      <c r="V680" s="235"/>
      <c r="W680" s="235"/>
      <c r="X680" s="235"/>
      <c r="Y680" s="235"/>
      <c r="Z680" s="235"/>
      <c r="AA680" s="235"/>
    </row>
    <row r="681" spans="1:27" ht="10.5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61"/>
      <c r="L681" s="235"/>
      <c r="M681" s="235"/>
      <c r="N681" s="235"/>
      <c r="O681" s="235"/>
      <c r="P681" s="235"/>
      <c r="Q681" s="298"/>
      <c r="R681" s="234"/>
      <c r="S681" s="235"/>
      <c r="T681" s="235"/>
      <c r="U681" s="235"/>
      <c r="V681" s="235"/>
      <c r="W681" s="235"/>
      <c r="X681" s="235"/>
      <c r="Y681" s="235"/>
      <c r="Z681" s="235"/>
      <c r="AA681" s="235"/>
    </row>
    <row r="682" spans="1:27" ht="10.5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61"/>
      <c r="L682" s="235"/>
      <c r="M682" s="235"/>
      <c r="N682" s="235"/>
      <c r="O682" s="235"/>
      <c r="P682" s="235"/>
      <c r="Q682" s="298"/>
      <c r="R682" s="234"/>
      <c r="S682" s="235"/>
      <c r="T682" s="235"/>
      <c r="U682" s="235"/>
      <c r="V682" s="235"/>
      <c r="W682" s="235"/>
      <c r="X682" s="235"/>
      <c r="Y682" s="235"/>
      <c r="Z682" s="235"/>
      <c r="AA682" s="235"/>
    </row>
    <row r="683" spans="1:27" ht="10.5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61"/>
      <c r="L683" s="235"/>
      <c r="M683" s="235"/>
      <c r="N683" s="235"/>
      <c r="O683" s="235"/>
      <c r="P683" s="235"/>
      <c r="Q683" s="298"/>
      <c r="R683" s="234"/>
      <c r="S683" s="235"/>
      <c r="T683" s="235"/>
      <c r="U683" s="235"/>
      <c r="V683" s="235"/>
      <c r="W683" s="235"/>
      <c r="X683" s="235"/>
      <c r="Y683" s="235"/>
      <c r="Z683" s="235"/>
      <c r="AA683" s="235"/>
    </row>
    <row r="684" spans="1:27" ht="10.5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61"/>
      <c r="L684" s="235"/>
      <c r="M684" s="235"/>
      <c r="N684" s="235"/>
      <c r="O684" s="235"/>
      <c r="P684" s="235"/>
      <c r="Q684" s="298"/>
      <c r="R684" s="234"/>
      <c r="S684" s="235"/>
      <c r="T684" s="235"/>
      <c r="U684" s="235"/>
      <c r="V684" s="235"/>
      <c r="W684" s="235"/>
      <c r="X684" s="235"/>
      <c r="Y684" s="235"/>
      <c r="Z684" s="235"/>
      <c r="AA684" s="235"/>
    </row>
    <row r="685" spans="1:27" ht="10.5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61"/>
      <c r="L685" s="235"/>
      <c r="M685" s="235"/>
      <c r="N685" s="235"/>
      <c r="O685" s="235"/>
      <c r="P685" s="235"/>
      <c r="Q685" s="298"/>
      <c r="R685" s="234"/>
      <c r="S685" s="235"/>
      <c r="T685" s="235"/>
      <c r="U685" s="235"/>
      <c r="V685" s="235"/>
      <c r="W685" s="235"/>
      <c r="X685" s="235"/>
      <c r="Y685" s="235"/>
      <c r="Z685" s="235"/>
      <c r="AA685" s="235"/>
    </row>
    <row r="686" spans="1:27" ht="10.5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61"/>
      <c r="L686" s="235"/>
      <c r="M686" s="235"/>
      <c r="N686" s="235"/>
      <c r="O686" s="235"/>
      <c r="P686" s="235"/>
      <c r="Q686" s="298"/>
      <c r="R686" s="234"/>
      <c r="S686" s="235"/>
      <c r="T686" s="235"/>
      <c r="U686" s="235"/>
      <c r="V686" s="235"/>
      <c r="W686" s="235"/>
      <c r="X686" s="235"/>
      <c r="Y686" s="235"/>
      <c r="Z686" s="235"/>
      <c r="AA686" s="235"/>
    </row>
    <row r="687" spans="1:27" ht="10.5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61"/>
      <c r="L687" s="235"/>
      <c r="M687" s="235"/>
      <c r="N687" s="235"/>
      <c r="O687" s="235"/>
      <c r="P687" s="235"/>
      <c r="Q687" s="298"/>
      <c r="R687" s="234"/>
      <c r="S687" s="235"/>
      <c r="T687" s="235"/>
      <c r="U687" s="235"/>
      <c r="V687" s="235"/>
      <c r="W687" s="235"/>
      <c r="X687" s="235"/>
      <c r="Y687" s="235"/>
      <c r="Z687" s="235"/>
      <c r="AA687" s="235"/>
    </row>
    <row r="688" spans="1:27" ht="10.5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61"/>
      <c r="L688" s="235"/>
      <c r="M688" s="235"/>
      <c r="N688" s="235"/>
      <c r="O688" s="235"/>
      <c r="P688" s="235"/>
      <c r="Q688" s="298"/>
      <c r="R688" s="234"/>
      <c r="S688" s="235"/>
      <c r="T688" s="235"/>
      <c r="U688" s="235"/>
      <c r="V688" s="235"/>
      <c r="W688" s="235"/>
      <c r="X688" s="235"/>
      <c r="Y688" s="235"/>
      <c r="Z688" s="235"/>
      <c r="AA688" s="235"/>
    </row>
    <row r="689" spans="1:27" ht="10.5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61"/>
      <c r="L689" s="235"/>
      <c r="M689" s="235"/>
      <c r="N689" s="235"/>
      <c r="O689" s="235"/>
      <c r="P689" s="235"/>
      <c r="Q689" s="298"/>
      <c r="R689" s="234"/>
      <c r="S689" s="235"/>
      <c r="T689" s="235"/>
      <c r="U689" s="235"/>
      <c r="V689" s="235"/>
      <c r="W689" s="235"/>
      <c r="X689" s="235"/>
      <c r="Y689" s="235"/>
      <c r="Z689" s="235"/>
      <c r="AA689" s="235"/>
    </row>
    <row r="690" spans="1:27" ht="10.5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61"/>
      <c r="L690" s="235"/>
      <c r="M690" s="235"/>
      <c r="N690" s="235"/>
      <c r="O690" s="235"/>
      <c r="P690" s="235"/>
      <c r="Q690" s="298"/>
      <c r="R690" s="234"/>
      <c r="S690" s="235"/>
      <c r="T690" s="235"/>
      <c r="U690" s="235"/>
      <c r="V690" s="235"/>
      <c r="W690" s="235"/>
      <c r="X690" s="235"/>
      <c r="Y690" s="235"/>
      <c r="Z690" s="235"/>
      <c r="AA690" s="235"/>
    </row>
    <row r="691" spans="1:27" ht="10.5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61"/>
      <c r="L691" s="235"/>
      <c r="M691" s="235"/>
      <c r="N691" s="235"/>
      <c r="O691" s="235"/>
      <c r="P691" s="235"/>
      <c r="Q691" s="298"/>
      <c r="R691" s="234"/>
      <c r="S691" s="235"/>
      <c r="T691" s="235"/>
      <c r="U691" s="235"/>
      <c r="V691" s="235"/>
      <c r="W691" s="235"/>
      <c r="X691" s="235"/>
      <c r="Y691" s="235"/>
      <c r="Z691" s="235"/>
      <c r="AA691" s="235"/>
    </row>
    <row r="692" spans="1:27" ht="10.5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61"/>
      <c r="L692" s="235"/>
      <c r="M692" s="235"/>
      <c r="N692" s="235"/>
      <c r="O692" s="235"/>
      <c r="P692" s="235"/>
      <c r="Q692" s="298"/>
      <c r="R692" s="234"/>
      <c r="S692" s="235"/>
      <c r="T692" s="235"/>
      <c r="U692" s="235"/>
      <c r="V692" s="235"/>
      <c r="W692" s="235"/>
      <c r="X692" s="235"/>
      <c r="Y692" s="235"/>
      <c r="Z692" s="235"/>
      <c r="AA692" s="235"/>
    </row>
    <row r="693" spans="1:27" ht="10.5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61"/>
      <c r="L693" s="235"/>
      <c r="M693" s="235"/>
      <c r="N693" s="235"/>
      <c r="O693" s="235"/>
      <c r="P693" s="235"/>
      <c r="Q693" s="298"/>
      <c r="R693" s="234"/>
      <c r="S693" s="235"/>
      <c r="T693" s="235"/>
      <c r="U693" s="235"/>
      <c r="V693" s="235"/>
      <c r="W693" s="235"/>
      <c r="X693" s="235"/>
      <c r="Y693" s="235"/>
      <c r="Z693" s="235"/>
      <c r="AA693" s="235"/>
    </row>
    <row r="694" spans="1:27" ht="10.5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61"/>
      <c r="L694" s="235"/>
      <c r="M694" s="235"/>
      <c r="N694" s="235"/>
      <c r="O694" s="235"/>
      <c r="P694" s="235"/>
      <c r="Q694" s="298"/>
      <c r="R694" s="234"/>
      <c r="S694" s="235"/>
      <c r="T694" s="235"/>
      <c r="U694" s="235"/>
      <c r="V694" s="235"/>
      <c r="W694" s="235"/>
      <c r="X694" s="235"/>
      <c r="Y694" s="235"/>
      <c r="Z694" s="235"/>
      <c r="AA694" s="235"/>
    </row>
    <row r="695" spans="1:27" ht="10.5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61"/>
      <c r="L695" s="235"/>
      <c r="M695" s="235"/>
      <c r="N695" s="235"/>
      <c r="O695" s="235"/>
      <c r="P695" s="235"/>
      <c r="Q695" s="298"/>
      <c r="R695" s="234"/>
      <c r="S695" s="235"/>
      <c r="T695" s="235"/>
      <c r="U695" s="235"/>
      <c r="V695" s="235"/>
      <c r="W695" s="235"/>
      <c r="X695" s="235"/>
      <c r="Y695" s="235"/>
      <c r="Z695" s="235"/>
      <c r="AA695" s="235"/>
    </row>
    <row r="696" spans="1:27" ht="10.5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61"/>
      <c r="L696" s="235"/>
      <c r="M696" s="235"/>
      <c r="N696" s="235"/>
      <c r="O696" s="235"/>
      <c r="P696" s="235"/>
      <c r="Q696" s="298"/>
      <c r="R696" s="234"/>
      <c r="S696" s="235"/>
      <c r="T696" s="235"/>
      <c r="U696" s="235"/>
      <c r="V696" s="235"/>
      <c r="W696" s="235"/>
      <c r="X696" s="235"/>
      <c r="Y696" s="235"/>
      <c r="Z696" s="235"/>
      <c r="AA696" s="235"/>
    </row>
    <row r="697" spans="1:27" ht="10.5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61"/>
      <c r="L697" s="235"/>
      <c r="M697" s="235"/>
      <c r="N697" s="235"/>
      <c r="O697" s="235"/>
      <c r="P697" s="235"/>
      <c r="Q697" s="298"/>
      <c r="R697" s="234"/>
      <c r="S697" s="235"/>
      <c r="T697" s="235"/>
      <c r="U697" s="235"/>
      <c r="V697" s="235"/>
      <c r="W697" s="235"/>
      <c r="X697" s="235"/>
      <c r="Y697" s="235"/>
      <c r="Z697" s="235"/>
      <c r="AA697" s="235"/>
    </row>
    <row r="698" spans="1:27" ht="10.5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61"/>
      <c r="L698" s="235"/>
      <c r="M698" s="235"/>
      <c r="N698" s="235"/>
      <c r="O698" s="235"/>
      <c r="P698" s="235"/>
      <c r="Q698" s="298"/>
      <c r="R698" s="234"/>
      <c r="S698" s="235"/>
      <c r="T698" s="235"/>
      <c r="U698" s="235"/>
      <c r="V698" s="235"/>
      <c r="W698" s="235"/>
      <c r="X698" s="235"/>
      <c r="Y698" s="235"/>
      <c r="Z698" s="235"/>
      <c r="AA698" s="235"/>
    </row>
    <row r="699" spans="1:27" ht="10.5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61"/>
      <c r="L699" s="235"/>
      <c r="M699" s="235"/>
      <c r="N699" s="235"/>
      <c r="O699" s="235"/>
      <c r="P699" s="235"/>
      <c r="Q699" s="298"/>
      <c r="R699" s="234"/>
      <c r="S699" s="235"/>
      <c r="T699" s="235"/>
      <c r="U699" s="235"/>
      <c r="V699" s="235"/>
      <c r="W699" s="235"/>
      <c r="X699" s="235"/>
      <c r="Y699" s="235"/>
      <c r="Z699" s="235"/>
      <c r="AA699" s="235"/>
    </row>
    <row r="700" spans="1:27" ht="10.5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61"/>
      <c r="L700" s="235"/>
      <c r="M700" s="235"/>
      <c r="N700" s="235"/>
      <c r="O700" s="235"/>
      <c r="P700" s="235"/>
      <c r="Q700" s="298"/>
      <c r="R700" s="234"/>
      <c r="S700" s="235"/>
      <c r="T700" s="235"/>
      <c r="U700" s="235"/>
      <c r="V700" s="235"/>
      <c r="W700" s="235"/>
      <c r="X700" s="235"/>
      <c r="Y700" s="235"/>
      <c r="Z700" s="235"/>
      <c r="AA700" s="235"/>
    </row>
    <row r="701" spans="1:27" ht="10.5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61"/>
      <c r="L701" s="235"/>
      <c r="M701" s="235"/>
      <c r="N701" s="235"/>
      <c r="O701" s="235"/>
      <c r="P701" s="235"/>
      <c r="Q701" s="298"/>
      <c r="R701" s="234"/>
      <c r="S701" s="235"/>
      <c r="T701" s="235"/>
      <c r="U701" s="235"/>
      <c r="V701" s="235"/>
      <c r="W701" s="235"/>
      <c r="X701" s="235"/>
      <c r="Y701" s="235"/>
      <c r="Z701" s="235"/>
      <c r="AA701" s="235"/>
    </row>
    <row r="702" spans="1:27" ht="10.5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61"/>
      <c r="L702" s="235"/>
      <c r="M702" s="235"/>
      <c r="N702" s="235"/>
      <c r="O702" s="235"/>
      <c r="P702" s="235"/>
      <c r="Q702" s="298"/>
      <c r="R702" s="234"/>
      <c r="S702" s="235"/>
      <c r="T702" s="235"/>
      <c r="U702" s="235"/>
      <c r="V702" s="235"/>
      <c r="W702" s="235"/>
      <c r="X702" s="235"/>
      <c r="Y702" s="235"/>
      <c r="Z702" s="235"/>
      <c r="AA702" s="235"/>
    </row>
    <row r="703" spans="1:27" ht="10.5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61"/>
      <c r="L703" s="235"/>
      <c r="M703" s="235"/>
      <c r="N703" s="235"/>
      <c r="O703" s="235"/>
      <c r="P703" s="235"/>
      <c r="Q703" s="298"/>
      <c r="R703" s="234"/>
      <c r="S703" s="235"/>
      <c r="T703" s="235"/>
      <c r="U703" s="235"/>
      <c r="V703" s="235"/>
      <c r="W703" s="235"/>
      <c r="X703" s="235"/>
      <c r="Y703" s="235"/>
      <c r="Z703" s="235"/>
      <c r="AA703" s="235"/>
    </row>
    <row r="704" spans="1:27" ht="10.5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61"/>
      <c r="L704" s="235"/>
      <c r="M704" s="235"/>
      <c r="N704" s="235"/>
      <c r="O704" s="235"/>
      <c r="P704" s="235"/>
      <c r="Q704" s="298"/>
      <c r="R704" s="234"/>
      <c r="S704" s="235"/>
      <c r="T704" s="235"/>
      <c r="U704" s="235"/>
      <c r="V704" s="235"/>
      <c r="W704" s="235"/>
      <c r="X704" s="235"/>
      <c r="Y704" s="235"/>
      <c r="Z704" s="235"/>
      <c r="AA704" s="235"/>
    </row>
    <row r="705" spans="1:27" ht="10.5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61"/>
      <c r="L705" s="235"/>
      <c r="M705" s="235"/>
      <c r="N705" s="235"/>
      <c r="O705" s="235"/>
      <c r="P705" s="235"/>
      <c r="Q705" s="298"/>
      <c r="R705" s="234"/>
      <c r="S705" s="235"/>
      <c r="T705" s="235"/>
      <c r="U705" s="235"/>
      <c r="V705" s="235"/>
      <c r="W705" s="235"/>
      <c r="X705" s="235"/>
      <c r="Y705" s="235"/>
      <c r="Z705" s="235"/>
      <c r="AA705" s="235"/>
    </row>
    <row r="706" spans="1:27" ht="10.5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61"/>
      <c r="L706" s="235"/>
      <c r="M706" s="235"/>
      <c r="N706" s="235"/>
      <c r="O706" s="235"/>
      <c r="P706" s="235"/>
      <c r="Q706" s="298"/>
      <c r="R706" s="234"/>
      <c r="S706" s="235"/>
      <c r="T706" s="235"/>
      <c r="U706" s="235"/>
      <c r="V706" s="235"/>
      <c r="W706" s="235"/>
      <c r="X706" s="235"/>
      <c r="Y706" s="235"/>
      <c r="Z706" s="235"/>
      <c r="AA706" s="235"/>
    </row>
    <row r="707" spans="1:27" ht="10.5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61"/>
      <c r="L707" s="235"/>
      <c r="M707" s="235"/>
      <c r="N707" s="235"/>
      <c r="O707" s="235"/>
      <c r="P707" s="235"/>
      <c r="Q707" s="298"/>
      <c r="R707" s="234"/>
      <c r="S707" s="235"/>
      <c r="T707" s="235"/>
      <c r="U707" s="235"/>
      <c r="V707" s="235"/>
      <c r="W707" s="235"/>
      <c r="X707" s="235"/>
      <c r="Y707" s="235"/>
      <c r="Z707" s="235"/>
      <c r="AA707" s="235"/>
    </row>
    <row r="708" spans="1:27" ht="10.5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61"/>
      <c r="L708" s="235"/>
      <c r="M708" s="235"/>
      <c r="N708" s="235"/>
      <c r="O708" s="235"/>
      <c r="P708" s="235"/>
      <c r="Q708" s="298"/>
      <c r="R708" s="234"/>
      <c r="S708" s="235"/>
      <c r="T708" s="235"/>
      <c r="U708" s="235"/>
      <c r="V708" s="235"/>
      <c r="W708" s="235"/>
      <c r="X708" s="235"/>
      <c r="Y708" s="235"/>
      <c r="Z708" s="235"/>
      <c r="AA708" s="235"/>
    </row>
    <row r="709" spans="1:27" ht="10.5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61"/>
      <c r="L709" s="235"/>
      <c r="M709" s="235"/>
      <c r="N709" s="235"/>
      <c r="O709" s="235"/>
      <c r="P709" s="235"/>
      <c r="Q709" s="298"/>
      <c r="R709" s="234"/>
      <c r="S709" s="235"/>
      <c r="T709" s="235"/>
      <c r="U709" s="235"/>
      <c r="V709" s="235"/>
      <c r="W709" s="235"/>
      <c r="X709" s="235"/>
      <c r="Y709" s="235"/>
      <c r="Z709" s="235"/>
      <c r="AA709" s="235"/>
    </row>
    <row r="710" spans="1:27" ht="10.5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61"/>
      <c r="L710" s="235"/>
      <c r="M710" s="235"/>
      <c r="N710" s="235"/>
      <c r="O710" s="235"/>
      <c r="P710" s="235"/>
      <c r="Q710" s="298"/>
      <c r="R710" s="234"/>
      <c r="S710" s="235"/>
      <c r="T710" s="235"/>
      <c r="U710" s="235"/>
      <c r="V710" s="235"/>
      <c r="W710" s="235"/>
      <c r="X710" s="235"/>
      <c r="Y710" s="235"/>
      <c r="Z710" s="235"/>
      <c r="AA710" s="235"/>
    </row>
    <row r="711" spans="1:27" ht="10.5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61"/>
      <c r="L711" s="235"/>
      <c r="M711" s="235"/>
      <c r="N711" s="235"/>
      <c r="O711" s="235"/>
      <c r="P711" s="235"/>
      <c r="Q711" s="298"/>
      <c r="R711" s="234"/>
      <c r="S711" s="235"/>
      <c r="T711" s="235"/>
      <c r="U711" s="235"/>
      <c r="V711" s="235"/>
      <c r="W711" s="235"/>
      <c r="X711" s="235"/>
      <c r="Y711" s="235"/>
      <c r="Z711" s="235"/>
      <c r="AA711" s="235"/>
    </row>
    <row r="712" spans="1:27" ht="10.5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61"/>
      <c r="L712" s="235"/>
      <c r="M712" s="235"/>
      <c r="N712" s="235"/>
      <c r="O712" s="235"/>
      <c r="P712" s="235"/>
      <c r="Q712" s="298"/>
      <c r="R712" s="234"/>
      <c r="S712" s="235"/>
      <c r="T712" s="235"/>
      <c r="U712" s="235"/>
      <c r="V712" s="235"/>
      <c r="W712" s="235"/>
      <c r="X712" s="235"/>
      <c r="Y712" s="235"/>
      <c r="Z712" s="235"/>
      <c r="AA712" s="235"/>
    </row>
    <row r="713" spans="1:27" ht="10.5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61"/>
      <c r="L713" s="235"/>
      <c r="M713" s="235"/>
      <c r="N713" s="235"/>
      <c r="O713" s="235"/>
      <c r="P713" s="235"/>
      <c r="Q713" s="298"/>
      <c r="R713" s="234"/>
      <c r="S713" s="235"/>
      <c r="T713" s="235"/>
      <c r="U713" s="235"/>
      <c r="V713" s="235"/>
      <c r="W713" s="235"/>
      <c r="X713" s="235"/>
      <c r="Y713" s="235"/>
      <c r="Z713" s="235"/>
      <c r="AA713" s="235"/>
    </row>
    <row r="714" spans="1:27" ht="10.5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61"/>
      <c r="L714" s="235"/>
      <c r="M714" s="235"/>
      <c r="N714" s="235"/>
      <c r="O714" s="235"/>
      <c r="P714" s="235"/>
      <c r="Q714" s="298"/>
      <c r="R714" s="234"/>
      <c r="S714" s="235"/>
      <c r="T714" s="235"/>
      <c r="U714" s="235"/>
      <c r="V714" s="235"/>
      <c r="W714" s="235"/>
      <c r="X714" s="235"/>
      <c r="Y714" s="235"/>
      <c r="Z714" s="235"/>
      <c r="AA714" s="235"/>
    </row>
    <row r="715" spans="1:27" ht="10.5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61"/>
      <c r="L715" s="235"/>
      <c r="M715" s="235"/>
      <c r="N715" s="235"/>
      <c r="O715" s="235"/>
      <c r="P715" s="235"/>
      <c r="Q715" s="298"/>
      <c r="R715" s="234"/>
      <c r="S715" s="235"/>
      <c r="T715" s="235"/>
      <c r="U715" s="235"/>
      <c r="V715" s="235"/>
      <c r="W715" s="235"/>
      <c r="X715" s="235"/>
      <c r="Y715" s="235"/>
      <c r="Z715" s="235"/>
      <c r="AA715" s="235"/>
    </row>
    <row r="716" spans="1:27" ht="10.5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61"/>
      <c r="L716" s="235"/>
      <c r="M716" s="235"/>
      <c r="N716" s="235"/>
      <c r="O716" s="235"/>
      <c r="P716" s="235"/>
      <c r="Q716" s="298"/>
      <c r="R716" s="234"/>
      <c r="S716" s="235"/>
      <c r="T716" s="235"/>
      <c r="U716" s="235"/>
      <c r="V716" s="235"/>
      <c r="W716" s="235"/>
      <c r="X716" s="235"/>
      <c r="Y716" s="235"/>
      <c r="Z716" s="235"/>
      <c r="AA716" s="235"/>
    </row>
    <row r="717" spans="1:27" ht="10.5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61"/>
      <c r="L717" s="235"/>
      <c r="M717" s="235"/>
      <c r="N717" s="235"/>
      <c r="O717" s="235"/>
      <c r="P717" s="235"/>
      <c r="Q717" s="298"/>
      <c r="R717" s="234"/>
      <c r="S717" s="235"/>
      <c r="T717" s="235"/>
      <c r="U717" s="235"/>
      <c r="V717" s="235"/>
      <c r="W717" s="235"/>
      <c r="X717" s="235"/>
      <c r="Y717" s="235"/>
      <c r="Z717" s="235"/>
      <c r="AA717" s="235"/>
    </row>
    <row r="718" spans="1:27" ht="10.5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61"/>
      <c r="L718" s="235"/>
      <c r="M718" s="235"/>
      <c r="N718" s="235"/>
      <c r="O718" s="235"/>
      <c r="P718" s="235"/>
      <c r="Q718" s="298"/>
      <c r="R718" s="234"/>
      <c r="S718" s="235"/>
      <c r="T718" s="235"/>
      <c r="U718" s="235"/>
      <c r="V718" s="235"/>
      <c r="W718" s="235"/>
      <c r="X718" s="235"/>
      <c r="Y718" s="235"/>
      <c r="Z718" s="235"/>
      <c r="AA718" s="235"/>
    </row>
    <row r="719" spans="1:27" ht="10.5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61"/>
      <c r="L719" s="235"/>
      <c r="M719" s="235"/>
      <c r="N719" s="235"/>
      <c r="O719" s="235"/>
      <c r="P719" s="235"/>
      <c r="Q719" s="298"/>
      <c r="R719" s="234"/>
      <c r="S719" s="235"/>
      <c r="T719" s="235"/>
      <c r="U719" s="235"/>
      <c r="V719" s="235"/>
      <c r="W719" s="235"/>
      <c r="X719" s="235"/>
      <c r="Y719" s="235"/>
      <c r="Z719" s="235"/>
      <c r="AA719" s="235"/>
    </row>
    <row r="720" spans="1:27" ht="10.5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61"/>
      <c r="L720" s="235"/>
      <c r="M720" s="235"/>
      <c r="N720" s="235"/>
      <c r="O720" s="235"/>
      <c r="P720" s="235"/>
      <c r="Q720" s="298"/>
      <c r="R720" s="234"/>
      <c r="S720" s="235"/>
      <c r="T720" s="235"/>
      <c r="U720" s="235"/>
      <c r="V720" s="235"/>
      <c r="W720" s="235"/>
      <c r="X720" s="235"/>
      <c r="Y720" s="235"/>
      <c r="Z720" s="235"/>
      <c r="AA720" s="235"/>
    </row>
    <row r="721" spans="1:27" ht="10.5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61"/>
      <c r="L721" s="235"/>
      <c r="M721" s="235"/>
      <c r="N721" s="235"/>
      <c r="O721" s="235"/>
      <c r="P721" s="235"/>
      <c r="Q721" s="298"/>
      <c r="R721" s="234"/>
      <c r="S721" s="235"/>
      <c r="T721" s="235"/>
      <c r="U721" s="235"/>
      <c r="V721" s="235"/>
      <c r="W721" s="235"/>
      <c r="X721" s="235"/>
      <c r="Y721" s="235"/>
      <c r="Z721" s="235"/>
      <c r="AA721" s="235"/>
    </row>
    <row r="722" spans="1:27" ht="10.5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61"/>
      <c r="L722" s="235"/>
      <c r="M722" s="235"/>
      <c r="N722" s="235"/>
      <c r="O722" s="235"/>
      <c r="P722" s="235"/>
      <c r="Q722" s="298"/>
      <c r="R722" s="234"/>
      <c r="S722" s="235"/>
      <c r="T722" s="235"/>
      <c r="U722" s="235"/>
      <c r="V722" s="235"/>
      <c r="W722" s="235"/>
      <c r="X722" s="235"/>
      <c r="Y722" s="235"/>
      <c r="Z722" s="235"/>
      <c r="AA722" s="235"/>
    </row>
    <row r="723" spans="1:27" ht="10.5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61"/>
      <c r="L723" s="235"/>
      <c r="M723" s="235"/>
      <c r="N723" s="235"/>
      <c r="O723" s="235"/>
      <c r="P723" s="235"/>
      <c r="Q723" s="298"/>
      <c r="R723" s="234"/>
      <c r="S723" s="235"/>
      <c r="T723" s="235"/>
      <c r="U723" s="235"/>
      <c r="V723" s="235"/>
      <c r="W723" s="235"/>
      <c r="X723" s="235"/>
      <c r="Y723" s="235"/>
      <c r="Z723" s="235"/>
      <c r="AA723" s="235"/>
    </row>
    <row r="724" spans="1:27" ht="10.5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61"/>
      <c r="L724" s="235"/>
      <c r="M724" s="235"/>
      <c r="N724" s="235"/>
      <c r="O724" s="235"/>
      <c r="P724" s="235"/>
      <c r="Q724" s="298"/>
      <c r="R724" s="234"/>
      <c r="S724" s="235"/>
      <c r="T724" s="235"/>
      <c r="U724" s="235"/>
      <c r="V724" s="235"/>
      <c r="W724" s="235"/>
      <c r="X724" s="235"/>
      <c r="Y724" s="235"/>
      <c r="Z724" s="235"/>
      <c r="AA724" s="235"/>
    </row>
    <row r="725" spans="1:27" ht="10.5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61"/>
      <c r="L725" s="235"/>
      <c r="M725" s="235"/>
      <c r="N725" s="235"/>
      <c r="O725" s="235"/>
      <c r="P725" s="235"/>
      <c r="Q725" s="298"/>
      <c r="R725" s="234"/>
      <c r="S725" s="235"/>
      <c r="T725" s="235"/>
      <c r="U725" s="235"/>
      <c r="V725" s="235"/>
      <c r="W725" s="235"/>
      <c r="X725" s="235"/>
      <c r="Y725" s="235"/>
      <c r="Z725" s="235"/>
      <c r="AA725" s="235"/>
    </row>
    <row r="726" spans="1:27" ht="10.5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61"/>
      <c r="L726" s="235"/>
      <c r="M726" s="235"/>
      <c r="N726" s="235"/>
      <c r="O726" s="235"/>
      <c r="P726" s="235"/>
      <c r="Q726" s="298"/>
      <c r="R726" s="234"/>
      <c r="S726" s="235"/>
      <c r="T726" s="235"/>
      <c r="U726" s="235"/>
      <c r="V726" s="235"/>
      <c r="W726" s="235"/>
      <c r="X726" s="235"/>
      <c r="Y726" s="235"/>
      <c r="Z726" s="235"/>
      <c r="AA726" s="235"/>
    </row>
    <row r="727" spans="1:27" ht="10.5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61"/>
      <c r="L727" s="235"/>
      <c r="M727" s="235"/>
      <c r="N727" s="235"/>
      <c r="O727" s="235"/>
      <c r="P727" s="235"/>
      <c r="Q727" s="298"/>
      <c r="R727" s="234"/>
      <c r="S727" s="235"/>
      <c r="T727" s="235"/>
      <c r="U727" s="235"/>
      <c r="V727" s="235"/>
      <c r="W727" s="235"/>
      <c r="X727" s="235"/>
      <c r="Y727" s="235"/>
      <c r="Z727" s="235"/>
      <c r="AA727" s="235"/>
    </row>
    <row r="728" spans="1:27" ht="10.5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61"/>
      <c r="L728" s="235"/>
      <c r="M728" s="235"/>
      <c r="N728" s="235"/>
      <c r="O728" s="235"/>
      <c r="P728" s="235"/>
      <c r="Q728" s="298"/>
      <c r="R728" s="234"/>
      <c r="S728" s="235"/>
      <c r="T728" s="235"/>
      <c r="U728" s="235"/>
      <c r="V728" s="235"/>
      <c r="W728" s="235"/>
      <c r="X728" s="235"/>
      <c r="Y728" s="235"/>
      <c r="Z728" s="235"/>
      <c r="AA728" s="235"/>
    </row>
    <row r="729" spans="1:27" ht="10.5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61"/>
      <c r="L729" s="235"/>
      <c r="M729" s="235"/>
      <c r="N729" s="235"/>
      <c r="O729" s="235"/>
      <c r="P729" s="235"/>
      <c r="Q729" s="298"/>
      <c r="R729" s="234"/>
      <c r="S729" s="235"/>
      <c r="T729" s="235"/>
      <c r="U729" s="235"/>
      <c r="V729" s="235"/>
      <c r="W729" s="235"/>
      <c r="X729" s="235"/>
      <c r="Y729" s="235"/>
      <c r="Z729" s="235"/>
      <c r="AA729" s="235"/>
    </row>
    <row r="730" spans="1:27" ht="10.5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61"/>
      <c r="L730" s="235"/>
      <c r="M730" s="235"/>
      <c r="N730" s="235"/>
      <c r="O730" s="235"/>
      <c r="P730" s="235"/>
      <c r="Q730" s="298"/>
      <c r="R730" s="234"/>
      <c r="S730" s="235"/>
      <c r="T730" s="235"/>
      <c r="U730" s="235"/>
      <c r="V730" s="235"/>
      <c r="W730" s="235"/>
      <c r="X730" s="235"/>
      <c r="Y730" s="235"/>
      <c r="Z730" s="235"/>
      <c r="AA730" s="235"/>
    </row>
    <row r="731" spans="1:27" ht="10.5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61"/>
      <c r="L731" s="235"/>
      <c r="M731" s="235"/>
      <c r="N731" s="235"/>
      <c r="O731" s="235"/>
      <c r="P731" s="235"/>
      <c r="Q731" s="298"/>
      <c r="R731" s="234"/>
      <c r="S731" s="235"/>
      <c r="T731" s="235"/>
      <c r="U731" s="235"/>
      <c r="V731" s="235"/>
      <c r="W731" s="235"/>
      <c r="X731" s="235"/>
      <c r="Y731" s="235"/>
      <c r="Z731" s="235"/>
      <c r="AA731" s="235"/>
    </row>
    <row r="732" spans="1:27" ht="10.5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61"/>
      <c r="L732" s="235"/>
      <c r="M732" s="235"/>
      <c r="N732" s="235"/>
      <c r="O732" s="235"/>
      <c r="P732" s="235"/>
      <c r="Q732" s="298"/>
      <c r="R732" s="234"/>
      <c r="S732" s="235"/>
      <c r="T732" s="235"/>
      <c r="U732" s="235"/>
      <c r="V732" s="235"/>
      <c r="W732" s="235"/>
      <c r="X732" s="235"/>
      <c r="Y732" s="235"/>
      <c r="Z732" s="235"/>
      <c r="AA732" s="235"/>
    </row>
    <row r="733" spans="1:27" ht="10.5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61"/>
      <c r="L733" s="235"/>
      <c r="M733" s="235"/>
      <c r="N733" s="235"/>
      <c r="O733" s="235"/>
      <c r="P733" s="235"/>
      <c r="Q733" s="298"/>
      <c r="R733" s="234"/>
      <c r="S733" s="235"/>
      <c r="T733" s="235"/>
      <c r="U733" s="235"/>
      <c r="V733" s="235"/>
      <c r="W733" s="235"/>
      <c r="X733" s="235"/>
      <c r="Y733" s="235"/>
      <c r="Z733" s="235"/>
      <c r="AA733" s="235"/>
    </row>
    <row r="734" spans="1:27" ht="10.5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61"/>
      <c r="L734" s="235"/>
      <c r="M734" s="235"/>
      <c r="N734" s="235"/>
      <c r="O734" s="235"/>
      <c r="P734" s="235"/>
      <c r="Q734" s="298"/>
      <c r="R734" s="234"/>
      <c r="S734" s="235"/>
      <c r="T734" s="235"/>
      <c r="U734" s="235"/>
      <c r="V734" s="235"/>
      <c r="W734" s="235"/>
      <c r="X734" s="235"/>
      <c r="Y734" s="235"/>
      <c r="Z734" s="235"/>
      <c r="AA734" s="235"/>
    </row>
    <row r="735" spans="1:27" ht="10.5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61"/>
      <c r="L735" s="235"/>
      <c r="M735" s="235"/>
      <c r="N735" s="235"/>
      <c r="O735" s="235"/>
      <c r="P735" s="235"/>
      <c r="Q735" s="298"/>
      <c r="R735" s="234"/>
      <c r="S735" s="235"/>
      <c r="T735" s="235"/>
      <c r="U735" s="235"/>
      <c r="V735" s="235"/>
      <c r="W735" s="235"/>
      <c r="X735" s="235"/>
      <c r="Y735" s="235"/>
      <c r="Z735" s="235"/>
      <c r="AA735" s="235"/>
    </row>
    <row r="736" spans="1:27" ht="10.5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61"/>
      <c r="L736" s="235"/>
      <c r="M736" s="235"/>
      <c r="N736" s="235"/>
      <c r="O736" s="235"/>
      <c r="P736" s="235"/>
      <c r="Q736" s="298"/>
      <c r="R736" s="234"/>
      <c r="S736" s="235"/>
      <c r="T736" s="235"/>
      <c r="U736" s="235"/>
      <c r="V736" s="235"/>
      <c r="W736" s="235"/>
      <c r="X736" s="235"/>
      <c r="Y736" s="235"/>
      <c r="Z736" s="235"/>
      <c r="AA736" s="235"/>
    </row>
    <row r="737" spans="1:27" ht="10.5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61"/>
      <c r="L737" s="235"/>
      <c r="M737" s="235"/>
      <c r="N737" s="235"/>
      <c r="O737" s="235"/>
      <c r="P737" s="235"/>
      <c r="Q737" s="298"/>
      <c r="R737" s="234"/>
      <c r="S737" s="235"/>
      <c r="T737" s="235"/>
      <c r="U737" s="235"/>
      <c r="V737" s="235"/>
      <c r="W737" s="235"/>
      <c r="X737" s="235"/>
      <c r="Y737" s="235"/>
      <c r="Z737" s="235"/>
      <c r="AA737" s="235"/>
    </row>
    <row r="738" spans="1:27" ht="10.5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61"/>
      <c r="L738" s="235"/>
      <c r="M738" s="235"/>
      <c r="N738" s="235"/>
      <c r="O738" s="235"/>
      <c r="P738" s="235"/>
      <c r="Q738" s="298"/>
      <c r="R738" s="234"/>
      <c r="S738" s="235"/>
      <c r="T738" s="235"/>
      <c r="U738" s="235"/>
      <c r="V738" s="235"/>
      <c r="W738" s="235"/>
      <c r="X738" s="235"/>
      <c r="Y738" s="235"/>
      <c r="Z738" s="235"/>
      <c r="AA738" s="235"/>
    </row>
    <row r="739" spans="1:27" ht="10.5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61"/>
      <c r="L739" s="235"/>
      <c r="M739" s="235"/>
      <c r="N739" s="235"/>
      <c r="O739" s="235"/>
      <c r="P739" s="235"/>
      <c r="Q739" s="298"/>
      <c r="R739" s="234"/>
      <c r="S739" s="235"/>
      <c r="T739" s="235"/>
      <c r="U739" s="235"/>
      <c r="V739" s="235"/>
      <c r="W739" s="235"/>
      <c r="X739" s="235"/>
      <c r="Y739" s="235"/>
      <c r="Z739" s="235"/>
      <c r="AA739" s="235"/>
    </row>
    <row r="740" spans="1:27" ht="10.5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61"/>
      <c r="L740" s="235"/>
      <c r="M740" s="235"/>
      <c r="N740" s="235"/>
      <c r="O740" s="235"/>
      <c r="P740" s="235"/>
      <c r="Q740" s="298"/>
      <c r="R740" s="234"/>
      <c r="S740" s="235"/>
      <c r="T740" s="235"/>
      <c r="U740" s="235"/>
      <c r="V740" s="235"/>
      <c r="W740" s="235"/>
      <c r="X740" s="235"/>
      <c r="Y740" s="235"/>
      <c r="Z740" s="235"/>
      <c r="AA740" s="235"/>
    </row>
    <row r="741" spans="1:27" ht="10.5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61"/>
      <c r="L741" s="235"/>
      <c r="M741" s="235"/>
      <c r="N741" s="235"/>
      <c r="O741" s="235"/>
      <c r="P741" s="235"/>
      <c r="Q741" s="298"/>
      <c r="R741" s="234"/>
      <c r="S741" s="235"/>
      <c r="T741" s="235"/>
      <c r="U741" s="235"/>
      <c r="V741" s="235"/>
      <c r="W741" s="235"/>
      <c r="X741" s="235"/>
      <c r="Y741" s="235"/>
      <c r="Z741" s="235"/>
      <c r="AA741" s="235"/>
    </row>
    <row r="742" spans="1:27" ht="10.5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61"/>
      <c r="L742" s="235"/>
      <c r="M742" s="235"/>
      <c r="N742" s="235"/>
      <c r="O742" s="235"/>
      <c r="P742" s="235"/>
      <c r="Q742" s="298"/>
      <c r="R742" s="234"/>
      <c r="S742" s="235"/>
      <c r="T742" s="235"/>
      <c r="U742" s="235"/>
      <c r="V742" s="235"/>
      <c r="W742" s="235"/>
      <c r="X742" s="235"/>
      <c r="Y742" s="235"/>
      <c r="Z742" s="235"/>
      <c r="AA742" s="235"/>
    </row>
    <row r="743" spans="1:27" ht="10.5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61"/>
      <c r="L743" s="235"/>
      <c r="M743" s="235"/>
      <c r="N743" s="235"/>
      <c r="O743" s="235"/>
      <c r="P743" s="235"/>
      <c r="Q743" s="298"/>
      <c r="R743" s="234"/>
      <c r="S743" s="235"/>
      <c r="T743" s="235"/>
      <c r="U743" s="235"/>
      <c r="V743" s="235"/>
      <c r="W743" s="235"/>
      <c r="X743" s="235"/>
      <c r="Y743" s="235"/>
      <c r="Z743" s="235"/>
      <c r="AA743" s="235"/>
    </row>
    <row r="744" spans="1:27" ht="10.5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61"/>
      <c r="L744" s="235"/>
      <c r="M744" s="235"/>
      <c r="N744" s="235"/>
      <c r="O744" s="235"/>
      <c r="P744" s="235"/>
      <c r="Q744" s="298"/>
      <c r="R744" s="234"/>
      <c r="S744" s="235"/>
      <c r="T744" s="235"/>
      <c r="U744" s="235"/>
      <c r="V744" s="235"/>
      <c r="W744" s="235"/>
      <c r="X744" s="235"/>
      <c r="Y744" s="235"/>
      <c r="Z744" s="235"/>
      <c r="AA744" s="235"/>
    </row>
    <row r="745" spans="1:27" ht="10.5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61"/>
      <c r="L745" s="235"/>
      <c r="M745" s="235"/>
      <c r="N745" s="235"/>
      <c r="O745" s="235"/>
      <c r="P745" s="235"/>
      <c r="Q745" s="298"/>
      <c r="R745" s="234"/>
      <c r="S745" s="235"/>
      <c r="T745" s="235"/>
      <c r="U745" s="235"/>
      <c r="V745" s="235"/>
      <c r="W745" s="235"/>
      <c r="X745" s="235"/>
      <c r="Y745" s="235"/>
      <c r="Z745" s="235"/>
      <c r="AA745" s="235"/>
    </row>
    <row r="746" spans="1:27" ht="10.5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61"/>
      <c r="L746" s="235"/>
      <c r="M746" s="235"/>
      <c r="N746" s="235"/>
      <c r="O746" s="235"/>
      <c r="P746" s="235"/>
      <c r="Q746" s="298"/>
      <c r="R746" s="234"/>
      <c r="S746" s="235"/>
      <c r="T746" s="235"/>
      <c r="U746" s="235"/>
      <c r="V746" s="235"/>
      <c r="W746" s="235"/>
      <c r="X746" s="235"/>
      <c r="Y746" s="235"/>
      <c r="Z746" s="235"/>
      <c r="AA746" s="235"/>
    </row>
    <row r="747" spans="1:27" ht="10.5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61"/>
      <c r="L747" s="235"/>
      <c r="M747" s="235"/>
      <c r="N747" s="235"/>
      <c r="O747" s="235"/>
      <c r="P747" s="235"/>
      <c r="Q747" s="298"/>
      <c r="R747" s="234"/>
      <c r="S747" s="235"/>
      <c r="T747" s="235"/>
      <c r="U747" s="235"/>
      <c r="V747" s="235"/>
      <c r="W747" s="235"/>
      <c r="X747" s="235"/>
      <c r="Y747" s="235"/>
      <c r="Z747" s="235"/>
      <c r="AA747" s="235"/>
    </row>
    <row r="748" spans="1:27" ht="10.5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61"/>
      <c r="L748" s="235"/>
      <c r="M748" s="235"/>
      <c r="N748" s="235"/>
      <c r="O748" s="235"/>
      <c r="P748" s="235"/>
      <c r="Q748" s="298"/>
      <c r="R748" s="234"/>
      <c r="S748" s="235"/>
      <c r="T748" s="235"/>
      <c r="U748" s="235"/>
      <c r="V748" s="235"/>
      <c r="W748" s="235"/>
      <c r="X748" s="235"/>
      <c r="Y748" s="235"/>
      <c r="Z748" s="235"/>
      <c r="AA748" s="235"/>
    </row>
    <row r="749" spans="1:27" ht="10.5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61"/>
      <c r="L749" s="235"/>
      <c r="M749" s="235"/>
      <c r="N749" s="235"/>
      <c r="O749" s="235"/>
      <c r="P749" s="235"/>
      <c r="Q749" s="298"/>
      <c r="R749" s="234"/>
      <c r="S749" s="235"/>
      <c r="T749" s="235"/>
      <c r="U749" s="235"/>
      <c r="V749" s="235"/>
      <c r="W749" s="235"/>
      <c r="X749" s="235"/>
      <c r="Y749" s="235"/>
      <c r="Z749" s="235"/>
      <c r="AA749" s="235"/>
    </row>
    <row r="750" spans="1:27" ht="10.5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61"/>
      <c r="L750" s="235"/>
      <c r="M750" s="235"/>
      <c r="N750" s="235"/>
      <c r="O750" s="235"/>
      <c r="P750" s="235"/>
      <c r="Q750" s="298"/>
      <c r="R750" s="234"/>
      <c r="S750" s="235"/>
      <c r="T750" s="235"/>
      <c r="U750" s="235"/>
      <c r="V750" s="235"/>
      <c r="W750" s="235"/>
      <c r="X750" s="235"/>
      <c r="Y750" s="235"/>
      <c r="Z750" s="235"/>
      <c r="AA750" s="235"/>
    </row>
    <row r="751" spans="1:27" ht="10.5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61"/>
      <c r="L751" s="235"/>
      <c r="M751" s="235"/>
      <c r="N751" s="235"/>
      <c r="O751" s="235"/>
      <c r="P751" s="235"/>
      <c r="Q751" s="298"/>
      <c r="R751" s="234"/>
      <c r="S751" s="235"/>
      <c r="T751" s="235"/>
      <c r="U751" s="235"/>
      <c r="V751" s="235"/>
      <c r="W751" s="235"/>
      <c r="X751" s="235"/>
      <c r="Y751" s="235"/>
      <c r="Z751" s="235"/>
      <c r="AA751" s="235"/>
    </row>
    <row r="752" spans="1:27" ht="10.5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61"/>
      <c r="L752" s="235"/>
      <c r="M752" s="235"/>
      <c r="N752" s="235"/>
      <c r="O752" s="235"/>
      <c r="P752" s="235"/>
      <c r="Q752" s="298"/>
      <c r="R752" s="234"/>
      <c r="S752" s="235"/>
      <c r="T752" s="235"/>
      <c r="U752" s="235"/>
      <c r="V752" s="235"/>
      <c r="W752" s="235"/>
      <c r="X752" s="235"/>
      <c r="Y752" s="235"/>
      <c r="Z752" s="235"/>
      <c r="AA752" s="235"/>
    </row>
    <row r="753" spans="1:27" ht="10.5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61"/>
      <c r="L753" s="235"/>
      <c r="M753" s="235"/>
      <c r="N753" s="235"/>
      <c r="O753" s="235"/>
      <c r="P753" s="235"/>
      <c r="Q753" s="298"/>
      <c r="R753" s="234"/>
      <c r="S753" s="235"/>
      <c r="T753" s="235"/>
      <c r="U753" s="235"/>
      <c r="V753" s="235"/>
      <c r="W753" s="235"/>
      <c r="X753" s="235"/>
      <c r="Y753" s="235"/>
      <c r="Z753" s="235"/>
      <c r="AA753" s="235"/>
    </row>
    <row r="754" spans="1:27" ht="10.5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61"/>
      <c r="L754" s="235"/>
      <c r="M754" s="235"/>
      <c r="N754" s="235"/>
      <c r="O754" s="235"/>
      <c r="P754" s="235"/>
      <c r="Q754" s="298"/>
      <c r="R754" s="234"/>
      <c r="S754" s="235"/>
      <c r="T754" s="235"/>
      <c r="U754" s="235"/>
      <c r="V754" s="235"/>
      <c r="W754" s="235"/>
      <c r="X754" s="235"/>
      <c r="Y754" s="235"/>
      <c r="Z754" s="235"/>
      <c r="AA754" s="235"/>
    </row>
    <row r="755" spans="1:27" ht="10.5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61"/>
      <c r="L755" s="235"/>
      <c r="M755" s="235"/>
      <c r="N755" s="235"/>
      <c r="O755" s="235"/>
      <c r="P755" s="235"/>
      <c r="Q755" s="298"/>
      <c r="R755" s="234"/>
      <c r="S755" s="235"/>
      <c r="T755" s="235"/>
      <c r="U755" s="235"/>
      <c r="V755" s="235"/>
      <c r="W755" s="235"/>
      <c r="X755" s="235"/>
      <c r="Y755" s="235"/>
      <c r="Z755" s="235"/>
      <c r="AA755" s="235"/>
    </row>
    <row r="756" spans="1:27" ht="10.5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61"/>
      <c r="L756" s="235"/>
      <c r="M756" s="235"/>
      <c r="N756" s="235"/>
      <c r="O756" s="235"/>
      <c r="P756" s="235"/>
      <c r="Q756" s="298"/>
      <c r="R756" s="234"/>
      <c r="S756" s="235"/>
      <c r="T756" s="235"/>
      <c r="U756" s="235"/>
      <c r="V756" s="235"/>
      <c r="W756" s="235"/>
      <c r="X756" s="235"/>
      <c r="Y756" s="235"/>
      <c r="Z756" s="235"/>
      <c r="AA756" s="235"/>
    </row>
    <row r="757" spans="1:27" ht="10.5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61"/>
      <c r="L757" s="235"/>
      <c r="M757" s="235"/>
      <c r="N757" s="235"/>
      <c r="O757" s="235"/>
      <c r="P757" s="235"/>
      <c r="Q757" s="298"/>
      <c r="R757" s="234"/>
      <c r="S757" s="235"/>
      <c r="T757" s="235"/>
      <c r="U757" s="235"/>
      <c r="V757" s="235"/>
      <c r="W757" s="235"/>
      <c r="X757" s="235"/>
      <c r="Y757" s="235"/>
      <c r="Z757" s="235"/>
      <c r="AA757" s="235"/>
    </row>
    <row r="758" spans="1:27" ht="10.5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61"/>
      <c r="L758" s="235"/>
      <c r="M758" s="235"/>
      <c r="N758" s="235"/>
      <c r="O758" s="235"/>
      <c r="P758" s="235"/>
      <c r="Q758" s="298"/>
      <c r="R758" s="234"/>
      <c r="S758" s="235"/>
      <c r="T758" s="235"/>
      <c r="U758" s="235"/>
      <c r="V758" s="235"/>
      <c r="W758" s="235"/>
      <c r="X758" s="235"/>
      <c r="Y758" s="235"/>
      <c r="Z758" s="235"/>
      <c r="AA758" s="235"/>
    </row>
    <row r="759" spans="1:27" ht="10.5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61"/>
      <c r="L759" s="235"/>
      <c r="M759" s="235"/>
      <c r="N759" s="235"/>
      <c r="O759" s="235"/>
      <c r="P759" s="235"/>
      <c r="Q759" s="298"/>
      <c r="R759" s="234"/>
      <c r="S759" s="235"/>
      <c r="T759" s="235"/>
      <c r="U759" s="235"/>
      <c r="V759" s="235"/>
      <c r="W759" s="235"/>
      <c r="X759" s="235"/>
      <c r="Y759" s="235"/>
      <c r="Z759" s="235"/>
      <c r="AA759" s="235"/>
    </row>
    <row r="760" spans="1:27" ht="10.5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61"/>
      <c r="L760" s="235"/>
      <c r="M760" s="235"/>
      <c r="N760" s="235"/>
      <c r="O760" s="235"/>
      <c r="P760" s="235"/>
      <c r="Q760" s="298"/>
      <c r="R760" s="234"/>
      <c r="S760" s="235"/>
      <c r="T760" s="235"/>
      <c r="U760" s="235"/>
      <c r="V760" s="235"/>
      <c r="W760" s="235"/>
      <c r="X760" s="235"/>
      <c r="Y760" s="235"/>
      <c r="Z760" s="235"/>
      <c r="AA760" s="235"/>
    </row>
    <row r="761" spans="1:27" ht="10.5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61"/>
      <c r="L761" s="235"/>
      <c r="M761" s="235"/>
      <c r="N761" s="235"/>
      <c r="O761" s="235"/>
      <c r="P761" s="235"/>
      <c r="Q761" s="298"/>
      <c r="R761" s="234"/>
      <c r="S761" s="235"/>
      <c r="T761" s="235"/>
      <c r="U761" s="235"/>
      <c r="V761" s="235"/>
      <c r="W761" s="235"/>
      <c r="X761" s="235"/>
      <c r="Y761" s="235"/>
      <c r="Z761" s="235"/>
      <c r="AA761" s="235"/>
    </row>
    <row r="762" spans="1:27" ht="10.5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61"/>
      <c r="L762" s="235"/>
      <c r="M762" s="235"/>
      <c r="N762" s="235"/>
      <c r="O762" s="235"/>
      <c r="P762" s="235"/>
      <c r="Q762" s="298"/>
      <c r="R762" s="234"/>
      <c r="S762" s="235"/>
      <c r="T762" s="235"/>
      <c r="U762" s="235"/>
      <c r="V762" s="235"/>
      <c r="W762" s="235"/>
      <c r="X762" s="235"/>
      <c r="Y762" s="235"/>
      <c r="Z762" s="235"/>
      <c r="AA762" s="235"/>
    </row>
    <row r="763" spans="1:27" ht="10.5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61"/>
      <c r="L763" s="235"/>
      <c r="M763" s="235"/>
      <c r="N763" s="235"/>
      <c r="O763" s="235"/>
      <c r="P763" s="235"/>
      <c r="Q763" s="298"/>
      <c r="R763" s="234"/>
      <c r="S763" s="235"/>
      <c r="T763" s="235"/>
      <c r="U763" s="235"/>
      <c r="V763" s="235"/>
      <c r="W763" s="235"/>
      <c r="X763" s="235"/>
      <c r="Y763" s="235"/>
      <c r="Z763" s="235"/>
      <c r="AA763" s="235"/>
    </row>
    <row r="764" spans="1:27" ht="10.5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61"/>
      <c r="L764" s="235"/>
      <c r="M764" s="235"/>
      <c r="N764" s="235"/>
      <c r="O764" s="235"/>
      <c r="P764" s="235"/>
      <c r="Q764" s="298"/>
      <c r="R764" s="234"/>
      <c r="S764" s="235"/>
      <c r="T764" s="235"/>
      <c r="U764" s="235"/>
      <c r="V764" s="235"/>
      <c r="W764" s="235"/>
      <c r="X764" s="235"/>
      <c r="Y764" s="235"/>
      <c r="Z764" s="235"/>
      <c r="AA764" s="235"/>
    </row>
    <row r="765" spans="1:27" ht="10.5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61"/>
      <c r="L765" s="235"/>
      <c r="M765" s="235"/>
      <c r="N765" s="235"/>
      <c r="O765" s="235"/>
      <c r="P765" s="235"/>
      <c r="Q765" s="298"/>
      <c r="R765" s="234"/>
      <c r="S765" s="235"/>
      <c r="T765" s="235"/>
      <c r="U765" s="235"/>
      <c r="V765" s="235"/>
      <c r="W765" s="235"/>
      <c r="X765" s="235"/>
      <c r="Y765" s="235"/>
      <c r="Z765" s="235"/>
      <c r="AA765" s="235"/>
    </row>
    <row r="766" spans="1:27" ht="10.5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61"/>
      <c r="L766" s="235"/>
      <c r="M766" s="235"/>
      <c r="N766" s="235"/>
      <c r="O766" s="235"/>
      <c r="P766" s="235"/>
      <c r="Q766" s="298"/>
      <c r="R766" s="234"/>
      <c r="S766" s="235"/>
      <c r="T766" s="235"/>
      <c r="U766" s="235"/>
      <c r="V766" s="235"/>
      <c r="W766" s="235"/>
      <c r="X766" s="235"/>
      <c r="Y766" s="235"/>
      <c r="Z766" s="235"/>
      <c r="AA766" s="235"/>
    </row>
    <row r="767" spans="1:27" ht="10.5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61"/>
      <c r="L767" s="235"/>
      <c r="M767" s="235"/>
      <c r="N767" s="235"/>
      <c r="O767" s="235"/>
      <c r="P767" s="235"/>
      <c r="Q767" s="298"/>
      <c r="R767" s="234"/>
      <c r="S767" s="235"/>
      <c r="T767" s="235"/>
      <c r="U767" s="235"/>
      <c r="V767" s="235"/>
      <c r="W767" s="235"/>
      <c r="X767" s="235"/>
      <c r="Y767" s="235"/>
      <c r="Z767" s="235"/>
      <c r="AA767" s="235"/>
    </row>
    <row r="768" spans="1:27" ht="10.5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61"/>
      <c r="L768" s="235"/>
      <c r="M768" s="235"/>
      <c r="N768" s="235"/>
      <c r="O768" s="235"/>
      <c r="P768" s="235"/>
      <c r="Q768" s="298"/>
      <c r="R768" s="234"/>
      <c r="S768" s="235"/>
      <c r="T768" s="235"/>
      <c r="U768" s="235"/>
      <c r="V768" s="235"/>
      <c r="W768" s="235"/>
      <c r="X768" s="235"/>
      <c r="Y768" s="235"/>
      <c r="Z768" s="235"/>
      <c r="AA768" s="235"/>
    </row>
    <row r="769" spans="1:27" ht="10.5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61"/>
      <c r="L769" s="235"/>
      <c r="M769" s="235"/>
      <c r="N769" s="235"/>
      <c r="O769" s="235"/>
      <c r="P769" s="235"/>
      <c r="Q769" s="298"/>
      <c r="R769" s="234"/>
      <c r="S769" s="235"/>
      <c r="T769" s="235"/>
      <c r="U769" s="235"/>
      <c r="V769" s="235"/>
      <c r="W769" s="235"/>
      <c r="X769" s="235"/>
      <c r="Y769" s="235"/>
      <c r="Z769" s="235"/>
      <c r="AA769" s="235"/>
    </row>
    <row r="770" spans="1:27" ht="10.5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61"/>
      <c r="L770" s="235"/>
      <c r="M770" s="235"/>
      <c r="N770" s="235"/>
      <c r="O770" s="235"/>
      <c r="P770" s="235"/>
      <c r="Q770" s="298"/>
      <c r="R770" s="234"/>
      <c r="S770" s="235"/>
      <c r="T770" s="235"/>
      <c r="U770" s="235"/>
      <c r="V770" s="235"/>
      <c r="W770" s="235"/>
      <c r="X770" s="235"/>
      <c r="Y770" s="235"/>
      <c r="Z770" s="235"/>
      <c r="AA770" s="235"/>
    </row>
    <row r="771" spans="1:27" ht="10.5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61"/>
      <c r="L771" s="235"/>
      <c r="M771" s="235"/>
      <c r="N771" s="235"/>
      <c r="O771" s="235"/>
      <c r="P771" s="235"/>
      <c r="Q771" s="298"/>
      <c r="R771" s="234"/>
      <c r="S771" s="235"/>
      <c r="T771" s="235"/>
      <c r="U771" s="235"/>
      <c r="V771" s="235"/>
      <c r="W771" s="235"/>
      <c r="X771" s="235"/>
      <c r="Y771" s="235"/>
      <c r="Z771" s="235"/>
      <c r="AA771" s="235"/>
    </row>
    <row r="772" spans="1:27" ht="10.5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61"/>
      <c r="L772" s="235"/>
      <c r="M772" s="235"/>
      <c r="N772" s="235"/>
      <c r="O772" s="235"/>
      <c r="P772" s="235"/>
      <c r="Q772" s="298"/>
      <c r="R772" s="234"/>
      <c r="S772" s="235"/>
      <c r="T772" s="235"/>
      <c r="U772" s="235"/>
      <c r="V772" s="235"/>
      <c r="W772" s="235"/>
      <c r="X772" s="235"/>
      <c r="Y772" s="235"/>
      <c r="Z772" s="235"/>
      <c r="AA772" s="235"/>
    </row>
    <row r="773" spans="1:27" ht="10.5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61"/>
      <c r="L773" s="235"/>
      <c r="M773" s="235"/>
      <c r="N773" s="235"/>
      <c r="O773" s="235"/>
      <c r="P773" s="235"/>
      <c r="Q773" s="298"/>
      <c r="R773" s="234"/>
      <c r="S773" s="235"/>
      <c r="T773" s="235"/>
      <c r="U773" s="235"/>
      <c r="V773" s="235"/>
      <c r="W773" s="235"/>
      <c r="X773" s="235"/>
      <c r="Y773" s="235"/>
      <c r="Z773" s="235"/>
      <c r="AA773" s="235"/>
    </row>
    <row r="774" spans="1:27" ht="10.5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61"/>
      <c r="L774" s="235"/>
      <c r="M774" s="235"/>
      <c r="N774" s="235"/>
      <c r="O774" s="235"/>
      <c r="P774" s="235"/>
      <c r="Q774" s="298"/>
      <c r="R774" s="234"/>
      <c r="S774" s="235"/>
      <c r="T774" s="235"/>
      <c r="U774" s="235"/>
      <c r="V774" s="235"/>
      <c r="W774" s="235"/>
      <c r="X774" s="235"/>
      <c r="Y774" s="235"/>
      <c r="Z774" s="235"/>
      <c r="AA774" s="235"/>
    </row>
    <row r="775" spans="1:27" ht="10.5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61"/>
      <c r="L775" s="235"/>
      <c r="M775" s="235"/>
      <c r="N775" s="235"/>
      <c r="O775" s="235"/>
      <c r="P775" s="235"/>
      <c r="Q775" s="298"/>
      <c r="R775" s="234"/>
      <c r="S775" s="235"/>
      <c r="T775" s="235"/>
      <c r="U775" s="235"/>
      <c r="V775" s="235"/>
      <c r="W775" s="235"/>
      <c r="X775" s="235"/>
      <c r="Y775" s="235"/>
      <c r="Z775" s="235"/>
      <c r="AA775" s="235"/>
    </row>
    <row r="776" spans="1:27" ht="10.5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61"/>
      <c r="L776" s="235"/>
      <c r="M776" s="235"/>
      <c r="N776" s="235"/>
      <c r="O776" s="235"/>
      <c r="P776" s="235"/>
      <c r="Q776" s="298"/>
      <c r="R776" s="234"/>
      <c r="S776" s="235"/>
      <c r="T776" s="235"/>
      <c r="U776" s="235"/>
      <c r="V776" s="235"/>
      <c r="W776" s="235"/>
      <c r="X776" s="235"/>
      <c r="Y776" s="235"/>
      <c r="Z776" s="235"/>
      <c r="AA776" s="235"/>
    </row>
    <row r="777" spans="1:27" ht="10.5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61"/>
      <c r="L777" s="235"/>
      <c r="M777" s="235"/>
      <c r="N777" s="235"/>
      <c r="O777" s="235"/>
      <c r="P777" s="235"/>
      <c r="Q777" s="298"/>
      <c r="R777" s="234"/>
      <c r="S777" s="235"/>
      <c r="T777" s="235"/>
      <c r="U777" s="235"/>
      <c r="V777" s="235"/>
      <c r="W777" s="235"/>
      <c r="X777" s="235"/>
      <c r="Y777" s="235"/>
      <c r="Z777" s="235"/>
      <c r="AA777" s="235"/>
    </row>
    <row r="778" spans="1:27" ht="10.5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61"/>
      <c r="L778" s="235"/>
      <c r="M778" s="235"/>
      <c r="N778" s="235"/>
      <c r="O778" s="235"/>
      <c r="P778" s="235"/>
      <c r="Q778" s="298"/>
      <c r="R778" s="234"/>
      <c r="S778" s="235"/>
      <c r="T778" s="235"/>
      <c r="U778" s="235"/>
      <c r="V778" s="235"/>
      <c r="W778" s="235"/>
      <c r="X778" s="235"/>
      <c r="Y778" s="235"/>
      <c r="Z778" s="235"/>
      <c r="AA778" s="235"/>
    </row>
    <row r="779" spans="1:27" ht="10.5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61"/>
      <c r="L779" s="235"/>
      <c r="M779" s="235"/>
      <c r="N779" s="235"/>
      <c r="O779" s="235"/>
      <c r="P779" s="235"/>
      <c r="Q779" s="298"/>
      <c r="R779" s="234"/>
      <c r="S779" s="235"/>
      <c r="T779" s="235"/>
      <c r="U779" s="235"/>
      <c r="V779" s="235"/>
      <c r="W779" s="235"/>
      <c r="X779" s="235"/>
      <c r="Y779" s="235"/>
      <c r="Z779" s="235"/>
      <c r="AA779" s="235"/>
    </row>
    <row r="780" spans="1:27" ht="10.5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61"/>
      <c r="L780" s="235"/>
      <c r="M780" s="235"/>
      <c r="N780" s="235"/>
      <c r="O780" s="235"/>
      <c r="P780" s="235"/>
      <c r="Q780" s="298"/>
      <c r="R780" s="234"/>
      <c r="S780" s="235"/>
      <c r="T780" s="235"/>
      <c r="U780" s="235"/>
      <c r="V780" s="235"/>
      <c r="W780" s="235"/>
      <c r="X780" s="235"/>
      <c r="Y780" s="235"/>
      <c r="Z780" s="235"/>
      <c r="AA780" s="235"/>
    </row>
    <row r="781" spans="1:27" ht="10.5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61"/>
      <c r="L781" s="235"/>
      <c r="M781" s="235"/>
      <c r="N781" s="235"/>
      <c r="O781" s="235"/>
      <c r="P781" s="235"/>
      <c r="Q781" s="298"/>
      <c r="R781" s="234"/>
      <c r="S781" s="235"/>
      <c r="T781" s="235"/>
      <c r="U781" s="235"/>
      <c r="V781" s="235"/>
      <c r="W781" s="235"/>
      <c r="X781" s="235"/>
      <c r="Y781" s="235"/>
      <c r="Z781" s="235"/>
      <c r="AA781" s="235"/>
    </row>
    <row r="782" spans="1:27" ht="10.5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61"/>
      <c r="L782" s="235"/>
      <c r="M782" s="235"/>
      <c r="N782" s="235"/>
      <c r="O782" s="235"/>
      <c r="P782" s="235"/>
      <c r="Q782" s="298"/>
      <c r="R782" s="234"/>
      <c r="S782" s="235"/>
      <c r="T782" s="235"/>
      <c r="U782" s="235"/>
      <c r="V782" s="235"/>
      <c r="W782" s="235"/>
      <c r="X782" s="235"/>
      <c r="Y782" s="235"/>
      <c r="Z782" s="235"/>
      <c r="AA782" s="235"/>
    </row>
    <row r="783" spans="1:27" ht="10.5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61"/>
      <c r="L783" s="235"/>
      <c r="M783" s="235"/>
      <c r="N783" s="235"/>
      <c r="O783" s="235"/>
      <c r="P783" s="235"/>
      <c r="Q783" s="298"/>
      <c r="R783" s="234"/>
      <c r="S783" s="235"/>
      <c r="T783" s="235"/>
      <c r="U783" s="235"/>
      <c r="V783" s="235"/>
      <c r="W783" s="235"/>
      <c r="X783" s="235"/>
      <c r="Y783" s="235"/>
      <c r="Z783" s="235"/>
      <c r="AA783" s="235"/>
    </row>
    <row r="784" spans="1:27" ht="10.5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61"/>
      <c r="L784" s="235"/>
      <c r="M784" s="235"/>
      <c r="N784" s="235"/>
      <c r="O784" s="235"/>
      <c r="P784" s="235"/>
      <c r="Q784" s="298"/>
      <c r="R784" s="234"/>
      <c r="S784" s="235"/>
      <c r="T784" s="235"/>
      <c r="U784" s="235"/>
      <c r="V784" s="235"/>
      <c r="W784" s="235"/>
      <c r="X784" s="235"/>
      <c r="Y784" s="235"/>
      <c r="Z784" s="235"/>
      <c r="AA784" s="235"/>
    </row>
    <row r="785" spans="1:27" ht="10.5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61"/>
      <c r="L785" s="235"/>
      <c r="M785" s="235"/>
      <c r="N785" s="235"/>
      <c r="O785" s="235"/>
      <c r="P785" s="235"/>
      <c r="Q785" s="298"/>
      <c r="R785" s="234"/>
      <c r="S785" s="235"/>
      <c r="T785" s="235"/>
      <c r="U785" s="235"/>
      <c r="V785" s="235"/>
      <c r="W785" s="235"/>
      <c r="X785" s="235"/>
      <c r="Y785" s="235"/>
      <c r="Z785" s="235"/>
      <c r="AA785" s="235"/>
    </row>
    <row r="786" spans="1:27" ht="10.5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61"/>
      <c r="L786" s="235"/>
      <c r="M786" s="235"/>
      <c r="N786" s="235"/>
      <c r="O786" s="235"/>
      <c r="P786" s="235"/>
      <c r="Q786" s="298"/>
      <c r="R786" s="234"/>
      <c r="S786" s="235"/>
      <c r="T786" s="235"/>
      <c r="U786" s="235"/>
      <c r="V786" s="235"/>
      <c r="W786" s="235"/>
      <c r="X786" s="235"/>
      <c r="Y786" s="235"/>
      <c r="Z786" s="235"/>
      <c r="AA786" s="235"/>
    </row>
    <row r="787" spans="1:27" ht="10.5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61"/>
      <c r="L787" s="235"/>
      <c r="M787" s="235"/>
      <c r="N787" s="235"/>
      <c r="O787" s="235"/>
      <c r="P787" s="235"/>
      <c r="Q787" s="298"/>
      <c r="R787" s="234"/>
      <c r="S787" s="235"/>
      <c r="T787" s="235"/>
      <c r="U787" s="235"/>
      <c r="V787" s="235"/>
      <c r="W787" s="235"/>
      <c r="X787" s="235"/>
      <c r="Y787" s="235"/>
      <c r="Z787" s="235"/>
      <c r="AA787" s="235"/>
    </row>
    <row r="788" spans="1:27" ht="10.5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61"/>
      <c r="L788" s="235"/>
      <c r="M788" s="235"/>
      <c r="N788" s="235"/>
      <c r="O788" s="235"/>
      <c r="P788" s="235"/>
      <c r="Q788" s="298"/>
      <c r="R788" s="234"/>
      <c r="S788" s="235"/>
      <c r="T788" s="235"/>
      <c r="U788" s="235"/>
      <c r="V788" s="235"/>
      <c r="W788" s="235"/>
      <c r="X788" s="235"/>
      <c r="Y788" s="235"/>
      <c r="Z788" s="235"/>
      <c r="AA788" s="235"/>
    </row>
    <row r="789" spans="1:27" ht="10.5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61"/>
      <c r="L789" s="235"/>
      <c r="M789" s="235"/>
      <c r="N789" s="235"/>
      <c r="O789" s="235"/>
      <c r="P789" s="235"/>
      <c r="Q789" s="298"/>
      <c r="R789" s="234"/>
      <c r="S789" s="235"/>
      <c r="T789" s="235"/>
      <c r="U789" s="235"/>
      <c r="V789" s="235"/>
      <c r="W789" s="235"/>
      <c r="X789" s="235"/>
      <c r="Y789" s="235"/>
      <c r="Z789" s="235"/>
      <c r="AA789" s="235"/>
    </row>
    <row r="790" spans="1:27" ht="10.5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61"/>
      <c r="L790" s="235"/>
      <c r="M790" s="235"/>
      <c r="N790" s="235"/>
      <c r="O790" s="235"/>
      <c r="P790" s="235"/>
      <c r="Q790" s="298"/>
      <c r="R790" s="234"/>
      <c r="S790" s="235"/>
      <c r="T790" s="235"/>
      <c r="U790" s="235"/>
      <c r="V790" s="235"/>
      <c r="W790" s="235"/>
      <c r="X790" s="235"/>
      <c r="Y790" s="235"/>
      <c r="Z790" s="235"/>
      <c r="AA790" s="235"/>
    </row>
    <row r="791" spans="1:27" ht="10.5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61"/>
      <c r="L791" s="235"/>
      <c r="M791" s="235"/>
      <c r="N791" s="235"/>
      <c r="O791" s="235"/>
      <c r="P791" s="235"/>
      <c r="Q791" s="298"/>
      <c r="R791" s="234"/>
      <c r="S791" s="235"/>
      <c r="T791" s="235"/>
      <c r="U791" s="235"/>
      <c r="V791" s="235"/>
      <c r="W791" s="235"/>
      <c r="X791" s="235"/>
      <c r="Y791" s="235"/>
      <c r="Z791" s="235"/>
      <c r="AA791" s="235"/>
    </row>
    <row r="792" spans="1:27" ht="10.5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61"/>
      <c r="L792" s="235"/>
      <c r="M792" s="235"/>
      <c r="N792" s="235"/>
      <c r="O792" s="235"/>
      <c r="P792" s="235"/>
      <c r="Q792" s="298"/>
      <c r="R792" s="234"/>
      <c r="S792" s="235"/>
      <c r="T792" s="235"/>
      <c r="U792" s="235"/>
      <c r="V792" s="235"/>
      <c r="W792" s="235"/>
      <c r="X792" s="235"/>
      <c r="Y792" s="235"/>
      <c r="Z792" s="235"/>
      <c r="AA792" s="235"/>
    </row>
    <row r="793" spans="1:27" ht="10.5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61"/>
      <c r="L793" s="235"/>
      <c r="M793" s="235"/>
      <c r="N793" s="235"/>
      <c r="O793" s="235"/>
      <c r="P793" s="235"/>
      <c r="Q793" s="298"/>
      <c r="R793" s="234"/>
      <c r="S793" s="235"/>
      <c r="T793" s="235"/>
      <c r="U793" s="235"/>
      <c r="V793" s="235"/>
      <c r="W793" s="235"/>
      <c r="X793" s="235"/>
      <c r="Y793" s="235"/>
      <c r="Z793" s="235"/>
      <c r="AA793" s="235"/>
    </row>
    <row r="794" spans="1:27" ht="10.5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61"/>
      <c r="L794" s="235"/>
      <c r="M794" s="235"/>
      <c r="N794" s="235"/>
      <c r="O794" s="235"/>
      <c r="P794" s="235"/>
      <c r="Q794" s="298"/>
      <c r="R794" s="234"/>
      <c r="S794" s="235"/>
      <c r="T794" s="235"/>
      <c r="U794" s="235"/>
      <c r="V794" s="235"/>
      <c r="W794" s="235"/>
      <c r="X794" s="235"/>
      <c r="Y794" s="235"/>
      <c r="Z794" s="235"/>
      <c r="AA794" s="235"/>
    </row>
    <row r="795" spans="1:27" ht="10.5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61"/>
      <c r="L795" s="235"/>
      <c r="M795" s="235"/>
      <c r="N795" s="235"/>
      <c r="O795" s="235"/>
      <c r="P795" s="235"/>
      <c r="Q795" s="298"/>
      <c r="R795" s="234"/>
      <c r="S795" s="235"/>
      <c r="T795" s="235"/>
      <c r="U795" s="235"/>
      <c r="V795" s="235"/>
      <c r="W795" s="235"/>
      <c r="X795" s="235"/>
      <c r="Y795" s="235"/>
      <c r="Z795" s="235"/>
      <c r="AA795" s="235"/>
    </row>
    <row r="796" spans="1:27" ht="10.5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61"/>
      <c r="L796" s="235"/>
      <c r="M796" s="235"/>
      <c r="N796" s="235"/>
      <c r="O796" s="235"/>
      <c r="P796" s="235"/>
      <c r="Q796" s="298"/>
      <c r="R796" s="234"/>
      <c r="S796" s="235"/>
      <c r="T796" s="235"/>
      <c r="U796" s="235"/>
      <c r="V796" s="235"/>
      <c r="W796" s="235"/>
      <c r="X796" s="235"/>
      <c r="Y796" s="235"/>
      <c r="Z796" s="235"/>
      <c r="AA796" s="235"/>
    </row>
    <row r="797" spans="1:27" ht="10.5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61"/>
      <c r="L797" s="235"/>
      <c r="M797" s="235"/>
      <c r="N797" s="235"/>
      <c r="O797" s="235"/>
      <c r="P797" s="235"/>
      <c r="Q797" s="298"/>
      <c r="R797" s="234"/>
      <c r="S797" s="235"/>
      <c r="T797" s="235"/>
      <c r="U797" s="235"/>
      <c r="V797" s="235"/>
      <c r="W797" s="235"/>
      <c r="X797" s="235"/>
      <c r="Y797" s="235"/>
      <c r="Z797" s="235"/>
      <c r="AA797" s="235"/>
    </row>
    <row r="798" spans="1:27" ht="10.5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61"/>
      <c r="L798" s="235"/>
      <c r="M798" s="235"/>
      <c r="N798" s="235"/>
      <c r="O798" s="235"/>
      <c r="P798" s="235"/>
      <c r="Q798" s="298"/>
      <c r="R798" s="234"/>
      <c r="S798" s="235"/>
      <c r="T798" s="235"/>
      <c r="U798" s="235"/>
      <c r="V798" s="235"/>
      <c r="W798" s="235"/>
      <c r="X798" s="235"/>
      <c r="Y798" s="235"/>
      <c r="Z798" s="235"/>
      <c r="AA798" s="235"/>
    </row>
    <row r="799" spans="1:27" ht="10.5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61"/>
      <c r="L799" s="235"/>
      <c r="M799" s="235"/>
      <c r="N799" s="235"/>
      <c r="O799" s="235"/>
      <c r="P799" s="235"/>
      <c r="Q799" s="298"/>
      <c r="R799" s="234"/>
      <c r="S799" s="235"/>
      <c r="T799" s="235"/>
      <c r="U799" s="235"/>
      <c r="V799" s="235"/>
      <c r="W799" s="235"/>
      <c r="X799" s="235"/>
      <c r="Y799" s="235"/>
      <c r="Z799" s="235"/>
      <c r="AA799" s="235"/>
    </row>
    <row r="800" spans="1:27" ht="10.5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61"/>
      <c r="L800" s="235"/>
      <c r="M800" s="235"/>
      <c r="N800" s="235"/>
      <c r="O800" s="235"/>
      <c r="P800" s="235"/>
      <c r="Q800" s="298"/>
      <c r="R800" s="234"/>
      <c r="S800" s="235"/>
      <c r="T800" s="235"/>
      <c r="U800" s="235"/>
      <c r="V800" s="235"/>
      <c r="W800" s="235"/>
      <c r="X800" s="235"/>
      <c r="Y800" s="235"/>
      <c r="Z800" s="235"/>
      <c r="AA800" s="235"/>
    </row>
    <row r="801" spans="1:27" ht="10.5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61"/>
      <c r="L801" s="235"/>
      <c r="M801" s="235"/>
      <c r="N801" s="235"/>
      <c r="O801" s="235"/>
      <c r="P801" s="235"/>
      <c r="Q801" s="298"/>
      <c r="R801" s="234"/>
      <c r="S801" s="235"/>
      <c r="T801" s="235"/>
      <c r="U801" s="235"/>
      <c r="V801" s="235"/>
      <c r="W801" s="235"/>
      <c r="X801" s="235"/>
      <c r="Y801" s="235"/>
      <c r="Z801" s="235"/>
      <c r="AA801" s="235"/>
    </row>
    <row r="802" spans="1:27" ht="10.5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61"/>
      <c r="L802" s="235"/>
      <c r="M802" s="235"/>
      <c r="N802" s="235"/>
      <c r="O802" s="235"/>
      <c r="P802" s="235"/>
      <c r="Q802" s="298"/>
      <c r="R802" s="234"/>
      <c r="S802" s="235"/>
      <c r="T802" s="235"/>
      <c r="U802" s="235"/>
      <c r="V802" s="235"/>
      <c r="W802" s="235"/>
      <c r="X802" s="235"/>
      <c r="Y802" s="235"/>
      <c r="Z802" s="235"/>
      <c r="AA802" s="235"/>
    </row>
    <row r="803" spans="1:27" ht="10.5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61"/>
      <c r="L803" s="235"/>
      <c r="M803" s="235"/>
      <c r="N803" s="235"/>
      <c r="O803" s="235"/>
      <c r="P803" s="235"/>
      <c r="Q803" s="298"/>
      <c r="R803" s="234"/>
      <c r="S803" s="235"/>
      <c r="T803" s="235"/>
      <c r="U803" s="235"/>
      <c r="V803" s="235"/>
      <c r="W803" s="235"/>
      <c r="X803" s="235"/>
      <c r="Y803" s="235"/>
      <c r="Z803" s="235"/>
      <c r="AA803" s="235"/>
    </row>
    <row r="804" spans="1:27" ht="10.5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61"/>
      <c r="L804" s="235"/>
      <c r="M804" s="235"/>
      <c r="N804" s="235"/>
      <c r="O804" s="235"/>
      <c r="P804" s="235"/>
      <c r="Q804" s="298"/>
      <c r="R804" s="234"/>
      <c r="S804" s="235"/>
      <c r="T804" s="235"/>
      <c r="U804" s="235"/>
      <c r="V804" s="235"/>
      <c r="W804" s="235"/>
      <c r="X804" s="235"/>
      <c r="Y804" s="235"/>
      <c r="Z804" s="235"/>
      <c r="AA804" s="235"/>
    </row>
    <row r="805" spans="1:27" ht="10.5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61"/>
      <c r="L805" s="235"/>
      <c r="M805" s="235"/>
      <c r="N805" s="235"/>
      <c r="O805" s="235"/>
      <c r="P805" s="235"/>
      <c r="Q805" s="298"/>
      <c r="R805" s="234"/>
      <c r="S805" s="235"/>
      <c r="T805" s="235"/>
      <c r="U805" s="235"/>
      <c r="V805" s="235"/>
      <c r="W805" s="235"/>
      <c r="X805" s="235"/>
      <c r="Y805" s="235"/>
      <c r="Z805" s="235"/>
      <c r="AA805" s="235"/>
    </row>
    <row r="806" spans="1:27" ht="10.5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61"/>
      <c r="L806" s="235"/>
      <c r="M806" s="235"/>
      <c r="N806" s="235"/>
      <c r="O806" s="235"/>
      <c r="P806" s="235"/>
      <c r="Q806" s="298"/>
      <c r="R806" s="234"/>
      <c r="S806" s="235"/>
      <c r="T806" s="235"/>
      <c r="U806" s="235"/>
      <c r="V806" s="235"/>
      <c r="W806" s="235"/>
      <c r="X806" s="235"/>
      <c r="Y806" s="235"/>
      <c r="Z806" s="235"/>
      <c r="AA806" s="235"/>
    </row>
    <row r="807" spans="1:27" ht="10.5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61"/>
      <c r="L807" s="235"/>
      <c r="M807" s="235"/>
      <c r="N807" s="235"/>
      <c r="O807" s="235"/>
      <c r="P807" s="235"/>
      <c r="Q807" s="298"/>
      <c r="R807" s="234"/>
      <c r="S807" s="235"/>
      <c r="T807" s="235"/>
      <c r="U807" s="235"/>
      <c r="V807" s="235"/>
      <c r="W807" s="235"/>
      <c r="X807" s="235"/>
      <c r="Y807" s="235"/>
      <c r="Z807" s="235"/>
      <c r="AA807" s="235"/>
    </row>
    <row r="808" spans="1:27" ht="10.5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61"/>
      <c r="L808" s="235"/>
      <c r="M808" s="235"/>
      <c r="N808" s="235"/>
      <c r="O808" s="235"/>
      <c r="P808" s="235"/>
      <c r="Q808" s="298"/>
      <c r="R808" s="234"/>
      <c r="S808" s="235"/>
      <c r="T808" s="235"/>
      <c r="U808" s="235"/>
      <c r="V808" s="235"/>
      <c r="W808" s="235"/>
      <c r="X808" s="235"/>
      <c r="Y808" s="235"/>
      <c r="Z808" s="235"/>
      <c r="AA808" s="235"/>
    </row>
    <row r="809" spans="1:27" ht="10.5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61"/>
      <c r="L809" s="235"/>
      <c r="M809" s="235"/>
      <c r="N809" s="235"/>
      <c r="O809" s="235"/>
      <c r="P809" s="235"/>
      <c r="Q809" s="298"/>
      <c r="R809" s="234"/>
      <c r="S809" s="235"/>
      <c r="T809" s="235"/>
      <c r="U809" s="235"/>
      <c r="V809" s="235"/>
      <c r="W809" s="235"/>
      <c r="X809" s="235"/>
      <c r="Y809" s="235"/>
      <c r="Z809" s="235"/>
      <c r="AA809" s="235"/>
    </row>
    <row r="810" spans="1:27" ht="10.5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61"/>
      <c r="L810" s="235"/>
      <c r="M810" s="235"/>
      <c r="N810" s="235"/>
      <c r="O810" s="235"/>
      <c r="P810" s="235"/>
      <c r="Q810" s="298"/>
      <c r="R810" s="234"/>
      <c r="S810" s="235"/>
      <c r="T810" s="235"/>
      <c r="U810" s="235"/>
      <c r="V810" s="235"/>
      <c r="W810" s="235"/>
      <c r="X810" s="235"/>
      <c r="Y810" s="235"/>
      <c r="Z810" s="235"/>
      <c r="AA810" s="235"/>
    </row>
    <row r="811" spans="1:27" ht="10.5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61"/>
      <c r="L811" s="235"/>
      <c r="M811" s="235"/>
      <c r="N811" s="235"/>
      <c r="O811" s="235"/>
      <c r="P811" s="235"/>
      <c r="Q811" s="298"/>
      <c r="R811" s="234"/>
      <c r="S811" s="235"/>
      <c r="T811" s="235"/>
      <c r="U811" s="235"/>
      <c r="V811" s="235"/>
      <c r="W811" s="235"/>
      <c r="X811" s="235"/>
      <c r="Y811" s="235"/>
      <c r="Z811" s="235"/>
      <c r="AA811" s="235"/>
    </row>
    <row r="812" spans="1:27" ht="10.5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61"/>
      <c r="L812" s="235"/>
      <c r="M812" s="235"/>
      <c r="N812" s="235"/>
      <c r="O812" s="235"/>
      <c r="P812" s="235"/>
      <c r="Q812" s="298"/>
      <c r="R812" s="234"/>
      <c r="S812" s="235"/>
      <c r="T812" s="235"/>
      <c r="U812" s="235"/>
      <c r="V812" s="235"/>
      <c r="W812" s="235"/>
      <c r="X812" s="235"/>
      <c r="Y812" s="235"/>
      <c r="Z812" s="235"/>
      <c r="AA812" s="235"/>
    </row>
    <row r="813" spans="1:27" ht="10.5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61"/>
      <c r="L813" s="235"/>
      <c r="M813" s="235"/>
      <c r="N813" s="235"/>
      <c r="O813" s="235"/>
      <c r="P813" s="235"/>
      <c r="Q813" s="298"/>
      <c r="R813" s="234"/>
      <c r="S813" s="235"/>
      <c r="T813" s="235"/>
      <c r="U813" s="235"/>
      <c r="V813" s="235"/>
      <c r="W813" s="235"/>
      <c r="X813" s="235"/>
      <c r="Y813" s="235"/>
      <c r="Z813" s="235"/>
      <c r="AA813" s="235"/>
    </row>
    <row r="814" spans="1:27" ht="10.5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61"/>
      <c r="L814" s="235"/>
      <c r="M814" s="235"/>
      <c r="N814" s="235"/>
      <c r="O814" s="235"/>
      <c r="P814" s="235"/>
      <c r="Q814" s="298"/>
      <c r="R814" s="234"/>
      <c r="S814" s="235"/>
      <c r="T814" s="235"/>
      <c r="U814" s="235"/>
      <c r="V814" s="235"/>
      <c r="W814" s="235"/>
      <c r="X814" s="235"/>
      <c r="Y814" s="235"/>
      <c r="Z814" s="235"/>
      <c r="AA814" s="235"/>
    </row>
    <row r="815" spans="1:27" ht="10.5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61"/>
      <c r="L815" s="235"/>
      <c r="M815" s="235"/>
      <c r="N815" s="235"/>
      <c r="O815" s="235"/>
      <c r="P815" s="235"/>
      <c r="Q815" s="298"/>
      <c r="R815" s="234"/>
      <c r="S815" s="235"/>
      <c r="T815" s="235"/>
      <c r="U815" s="235"/>
      <c r="V815" s="235"/>
      <c r="W815" s="235"/>
      <c r="X815" s="235"/>
      <c r="Y815" s="235"/>
      <c r="Z815" s="235"/>
      <c r="AA815" s="235"/>
    </row>
    <row r="816" spans="1:27" ht="10.5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61"/>
      <c r="L816" s="235"/>
      <c r="M816" s="235"/>
      <c r="N816" s="235"/>
      <c r="O816" s="235"/>
      <c r="P816" s="235"/>
      <c r="Q816" s="298"/>
      <c r="R816" s="234"/>
      <c r="S816" s="235"/>
      <c r="T816" s="235"/>
      <c r="U816" s="235"/>
      <c r="V816" s="235"/>
      <c r="W816" s="235"/>
      <c r="X816" s="235"/>
      <c r="Y816" s="235"/>
      <c r="Z816" s="235"/>
      <c r="AA816" s="235"/>
    </row>
    <row r="817" spans="1:27" ht="10.5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61"/>
      <c r="L817" s="235"/>
      <c r="M817" s="235"/>
      <c r="N817" s="235"/>
      <c r="O817" s="235"/>
      <c r="P817" s="235"/>
      <c r="Q817" s="298"/>
      <c r="R817" s="234"/>
      <c r="S817" s="235"/>
      <c r="T817" s="235"/>
      <c r="U817" s="235"/>
      <c r="V817" s="235"/>
      <c r="W817" s="235"/>
      <c r="X817" s="235"/>
      <c r="Y817" s="235"/>
      <c r="Z817" s="235"/>
      <c r="AA817" s="235"/>
    </row>
    <row r="818" spans="1:27" ht="10.5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61"/>
      <c r="L818" s="235"/>
      <c r="M818" s="235"/>
      <c r="N818" s="235"/>
      <c r="O818" s="235"/>
      <c r="P818" s="235"/>
      <c r="Q818" s="298"/>
      <c r="R818" s="234"/>
      <c r="S818" s="235"/>
      <c r="T818" s="235"/>
      <c r="U818" s="235"/>
      <c r="V818" s="235"/>
      <c r="W818" s="235"/>
      <c r="X818" s="235"/>
      <c r="Y818" s="235"/>
      <c r="Z818" s="235"/>
      <c r="AA818" s="235"/>
    </row>
    <row r="819" spans="1:27" ht="10.5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61"/>
      <c r="L819" s="235"/>
      <c r="M819" s="235"/>
      <c r="N819" s="235"/>
      <c r="O819" s="235"/>
      <c r="P819" s="235"/>
      <c r="Q819" s="298"/>
      <c r="R819" s="234"/>
      <c r="S819" s="235"/>
      <c r="T819" s="235"/>
      <c r="U819" s="235"/>
      <c r="V819" s="235"/>
      <c r="W819" s="235"/>
      <c r="X819" s="235"/>
      <c r="Y819" s="235"/>
      <c r="Z819" s="235"/>
      <c r="AA819" s="235"/>
    </row>
    <row r="820" spans="1:27" ht="10.5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61"/>
      <c r="L820" s="235"/>
      <c r="M820" s="235"/>
      <c r="N820" s="235"/>
      <c r="O820" s="235"/>
      <c r="P820" s="235"/>
      <c r="Q820" s="298"/>
      <c r="R820" s="234"/>
      <c r="S820" s="235"/>
      <c r="T820" s="235"/>
      <c r="U820" s="235"/>
      <c r="V820" s="235"/>
      <c r="W820" s="235"/>
      <c r="X820" s="235"/>
      <c r="Y820" s="235"/>
      <c r="Z820" s="235"/>
      <c r="AA820" s="235"/>
    </row>
    <row r="821" spans="1:27" ht="10.5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61"/>
      <c r="L821" s="235"/>
      <c r="M821" s="235"/>
      <c r="N821" s="235"/>
      <c r="O821" s="235"/>
      <c r="P821" s="235"/>
      <c r="Q821" s="298"/>
      <c r="R821" s="234"/>
      <c r="S821" s="235"/>
      <c r="T821" s="235"/>
      <c r="U821" s="235"/>
      <c r="V821" s="235"/>
      <c r="W821" s="235"/>
      <c r="X821" s="235"/>
      <c r="Y821" s="235"/>
      <c r="Z821" s="235"/>
      <c r="AA821" s="235"/>
    </row>
    <row r="822" spans="1:27" ht="10.5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61"/>
      <c r="L822" s="235"/>
      <c r="M822" s="235"/>
      <c r="N822" s="235"/>
      <c r="O822" s="235"/>
      <c r="P822" s="235"/>
      <c r="Q822" s="298"/>
      <c r="R822" s="234"/>
      <c r="S822" s="235"/>
      <c r="T822" s="235"/>
      <c r="U822" s="235"/>
      <c r="V822" s="235"/>
      <c r="W822" s="235"/>
      <c r="X822" s="235"/>
      <c r="Y822" s="235"/>
      <c r="Z822" s="235"/>
      <c r="AA822" s="235"/>
    </row>
    <row r="823" spans="1:27" ht="10.5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61"/>
      <c r="L823" s="235"/>
      <c r="M823" s="235"/>
      <c r="N823" s="235"/>
      <c r="O823" s="235"/>
      <c r="P823" s="235"/>
      <c r="Q823" s="298"/>
      <c r="R823" s="234"/>
      <c r="S823" s="235"/>
      <c r="T823" s="235"/>
      <c r="U823" s="235"/>
      <c r="V823" s="235"/>
      <c r="W823" s="235"/>
      <c r="X823" s="235"/>
      <c r="Y823" s="235"/>
      <c r="Z823" s="235"/>
      <c r="AA823" s="235"/>
    </row>
    <row r="824" spans="1:27" ht="10.5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61"/>
      <c r="L824" s="235"/>
      <c r="M824" s="235"/>
      <c r="N824" s="235"/>
      <c r="O824" s="235"/>
      <c r="P824" s="235"/>
      <c r="Q824" s="298"/>
      <c r="R824" s="234"/>
      <c r="S824" s="235"/>
      <c r="T824" s="235"/>
      <c r="U824" s="235"/>
      <c r="V824" s="235"/>
      <c r="W824" s="235"/>
      <c r="X824" s="235"/>
      <c r="Y824" s="235"/>
      <c r="Z824" s="235"/>
      <c r="AA824" s="235"/>
    </row>
    <row r="825" spans="1:27" ht="10.5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61"/>
      <c r="L825" s="235"/>
      <c r="M825" s="235"/>
      <c r="N825" s="235"/>
      <c r="O825" s="235"/>
      <c r="P825" s="235"/>
      <c r="Q825" s="298"/>
      <c r="R825" s="234"/>
      <c r="S825" s="235"/>
      <c r="T825" s="235"/>
      <c r="U825" s="235"/>
      <c r="V825" s="235"/>
      <c r="W825" s="235"/>
      <c r="X825" s="235"/>
      <c r="Y825" s="235"/>
      <c r="Z825" s="235"/>
      <c r="AA825" s="235"/>
    </row>
    <row r="826" spans="1:27" ht="10.5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61"/>
      <c r="L826" s="235"/>
      <c r="M826" s="235"/>
      <c r="N826" s="235"/>
      <c r="O826" s="235"/>
      <c r="P826" s="235"/>
      <c r="Q826" s="298"/>
      <c r="R826" s="234"/>
      <c r="S826" s="235"/>
      <c r="T826" s="235"/>
      <c r="U826" s="235"/>
      <c r="V826" s="235"/>
      <c r="W826" s="235"/>
      <c r="X826" s="235"/>
      <c r="Y826" s="235"/>
      <c r="Z826" s="235"/>
      <c r="AA826" s="235"/>
    </row>
    <row r="827" spans="1:27" ht="10.5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61"/>
      <c r="L827" s="235"/>
      <c r="M827" s="235"/>
      <c r="N827" s="235"/>
      <c r="O827" s="235"/>
      <c r="P827" s="235"/>
      <c r="Q827" s="298"/>
      <c r="R827" s="234"/>
      <c r="S827" s="235"/>
      <c r="T827" s="235"/>
      <c r="U827" s="235"/>
      <c r="V827" s="235"/>
      <c r="W827" s="235"/>
      <c r="X827" s="235"/>
      <c r="Y827" s="235"/>
      <c r="Z827" s="235"/>
      <c r="AA827" s="235"/>
    </row>
    <row r="828" spans="1:27" ht="10.5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61"/>
      <c r="L828" s="235"/>
      <c r="M828" s="235"/>
      <c r="N828" s="235"/>
      <c r="O828" s="235"/>
      <c r="P828" s="235"/>
      <c r="Q828" s="298"/>
      <c r="R828" s="234"/>
      <c r="S828" s="235"/>
      <c r="T828" s="235"/>
      <c r="U828" s="235"/>
      <c r="V828" s="235"/>
      <c r="W828" s="235"/>
      <c r="X828" s="235"/>
      <c r="Y828" s="235"/>
      <c r="Z828" s="235"/>
      <c r="AA828" s="235"/>
    </row>
    <row r="829" spans="1:27" ht="10.5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61"/>
      <c r="L829" s="235"/>
      <c r="M829" s="235"/>
      <c r="N829" s="235"/>
      <c r="O829" s="235"/>
      <c r="P829" s="235"/>
      <c r="Q829" s="298"/>
      <c r="R829" s="234"/>
      <c r="S829" s="235"/>
      <c r="T829" s="235"/>
      <c r="U829" s="235"/>
      <c r="V829" s="235"/>
      <c r="W829" s="235"/>
      <c r="X829" s="235"/>
      <c r="Y829" s="235"/>
      <c r="Z829" s="235"/>
      <c r="AA829" s="235"/>
    </row>
    <row r="830" spans="1:27" ht="10.5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61"/>
      <c r="L830" s="235"/>
      <c r="M830" s="235"/>
      <c r="N830" s="235"/>
      <c r="O830" s="235"/>
      <c r="P830" s="235"/>
      <c r="Q830" s="298"/>
      <c r="R830" s="234"/>
      <c r="S830" s="235"/>
      <c r="T830" s="235"/>
      <c r="U830" s="235"/>
      <c r="V830" s="235"/>
      <c r="W830" s="235"/>
      <c r="X830" s="235"/>
      <c r="Y830" s="235"/>
      <c r="Z830" s="235"/>
      <c r="AA830" s="235"/>
    </row>
    <row r="831" spans="1:27" ht="10.5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61"/>
      <c r="L831" s="235"/>
      <c r="M831" s="235"/>
      <c r="N831" s="235"/>
      <c r="O831" s="235"/>
      <c r="P831" s="235"/>
      <c r="Q831" s="298"/>
      <c r="R831" s="234"/>
      <c r="S831" s="235"/>
      <c r="T831" s="235"/>
      <c r="U831" s="235"/>
      <c r="V831" s="235"/>
      <c r="W831" s="235"/>
      <c r="X831" s="235"/>
      <c r="Y831" s="235"/>
      <c r="Z831" s="235"/>
      <c r="AA831" s="235"/>
    </row>
    <row r="832" spans="1:27" ht="10.5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61"/>
      <c r="L832" s="235"/>
      <c r="M832" s="235"/>
      <c r="N832" s="235"/>
      <c r="O832" s="235"/>
      <c r="P832" s="235"/>
      <c r="Q832" s="298"/>
      <c r="R832" s="234"/>
      <c r="S832" s="235"/>
      <c r="T832" s="235"/>
      <c r="U832" s="235"/>
      <c r="V832" s="235"/>
      <c r="W832" s="235"/>
      <c r="X832" s="235"/>
      <c r="Y832" s="235"/>
      <c r="Z832" s="235"/>
      <c r="AA832" s="235"/>
    </row>
    <row r="833" spans="1:27" ht="10.5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61"/>
      <c r="L833" s="235"/>
      <c r="M833" s="235"/>
      <c r="N833" s="235"/>
      <c r="O833" s="235"/>
      <c r="P833" s="235"/>
      <c r="Q833" s="298"/>
      <c r="R833" s="234"/>
      <c r="S833" s="235"/>
      <c r="T833" s="235"/>
      <c r="U833" s="235"/>
      <c r="V833" s="235"/>
      <c r="W833" s="235"/>
      <c r="X833" s="235"/>
      <c r="Y833" s="235"/>
      <c r="Z833" s="235"/>
      <c r="AA833" s="235"/>
    </row>
    <row r="834" spans="1:27" ht="10.5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61"/>
      <c r="L834" s="235"/>
      <c r="M834" s="235"/>
      <c r="N834" s="235"/>
      <c r="O834" s="235"/>
      <c r="P834" s="235"/>
      <c r="Q834" s="298"/>
      <c r="R834" s="234"/>
      <c r="S834" s="235"/>
      <c r="T834" s="235"/>
      <c r="U834" s="235"/>
      <c r="V834" s="235"/>
      <c r="W834" s="235"/>
      <c r="X834" s="235"/>
      <c r="Y834" s="235"/>
      <c r="Z834" s="235"/>
      <c r="AA834" s="235"/>
    </row>
    <row r="835" spans="1:27" ht="10.5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61"/>
      <c r="L835" s="235"/>
      <c r="M835" s="235"/>
      <c r="N835" s="235"/>
      <c r="O835" s="235"/>
      <c r="P835" s="235"/>
      <c r="Q835" s="298"/>
      <c r="R835" s="234"/>
      <c r="S835" s="235"/>
      <c r="T835" s="235"/>
      <c r="U835" s="235"/>
      <c r="V835" s="235"/>
      <c r="W835" s="235"/>
      <c r="X835" s="235"/>
      <c r="Y835" s="235"/>
      <c r="Z835" s="235"/>
      <c r="AA835" s="235"/>
    </row>
    <row r="836" spans="1:27" ht="10.5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61"/>
      <c r="L836" s="235"/>
      <c r="M836" s="235"/>
      <c r="N836" s="235"/>
      <c r="O836" s="235"/>
      <c r="P836" s="235"/>
      <c r="Q836" s="298"/>
      <c r="R836" s="234"/>
      <c r="S836" s="235"/>
      <c r="T836" s="235"/>
      <c r="U836" s="235"/>
      <c r="V836" s="235"/>
      <c r="W836" s="235"/>
      <c r="X836" s="235"/>
      <c r="Y836" s="235"/>
      <c r="Z836" s="235"/>
      <c r="AA836" s="235"/>
    </row>
    <row r="837" spans="1:27" ht="10.5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61"/>
      <c r="L837" s="235"/>
      <c r="M837" s="235"/>
      <c r="N837" s="235"/>
      <c r="O837" s="235"/>
      <c r="P837" s="235"/>
      <c r="Q837" s="298"/>
      <c r="R837" s="234"/>
      <c r="S837" s="235"/>
      <c r="T837" s="235"/>
      <c r="U837" s="235"/>
      <c r="V837" s="235"/>
      <c r="W837" s="235"/>
      <c r="X837" s="235"/>
      <c r="Y837" s="235"/>
      <c r="Z837" s="235"/>
      <c r="AA837" s="235"/>
    </row>
    <row r="838" spans="1:27" ht="10.5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61"/>
      <c r="L838" s="235"/>
      <c r="M838" s="235"/>
      <c r="N838" s="235"/>
      <c r="O838" s="235"/>
      <c r="P838" s="235"/>
      <c r="Q838" s="298"/>
      <c r="R838" s="234"/>
      <c r="S838" s="235"/>
      <c r="T838" s="235"/>
      <c r="U838" s="235"/>
      <c r="V838" s="235"/>
      <c r="W838" s="235"/>
      <c r="X838" s="235"/>
      <c r="Y838" s="235"/>
      <c r="Z838" s="235"/>
      <c r="AA838" s="235"/>
    </row>
    <row r="839" spans="1:27" ht="10.5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61"/>
      <c r="L839" s="235"/>
      <c r="M839" s="235"/>
      <c r="N839" s="235"/>
      <c r="O839" s="235"/>
      <c r="P839" s="235"/>
      <c r="Q839" s="298"/>
      <c r="R839" s="234"/>
      <c r="S839" s="235"/>
      <c r="T839" s="235"/>
      <c r="U839" s="235"/>
      <c r="V839" s="235"/>
      <c r="W839" s="235"/>
      <c r="X839" s="235"/>
      <c r="Y839" s="235"/>
      <c r="Z839" s="235"/>
      <c r="AA839" s="235"/>
    </row>
    <row r="840" spans="1:27" ht="10.5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61"/>
      <c r="L840" s="235"/>
      <c r="M840" s="235"/>
      <c r="N840" s="235"/>
      <c r="O840" s="235"/>
      <c r="P840" s="235"/>
      <c r="Q840" s="298"/>
      <c r="R840" s="234"/>
      <c r="S840" s="235"/>
      <c r="T840" s="235"/>
      <c r="U840" s="235"/>
      <c r="V840" s="235"/>
      <c r="W840" s="235"/>
      <c r="X840" s="235"/>
      <c r="Y840" s="235"/>
      <c r="Z840" s="235"/>
      <c r="AA840" s="235"/>
    </row>
    <row r="841" spans="1:27" ht="10.5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61"/>
      <c r="L841" s="235"/>
      <c r="M841" s="235"/>
      <c r="N841" s="235"/>
      <c r="O841" s="235"/>
      <c r="P841" s="235"/>
      <c r="Q841" s="298"/>
      <c r="R841" s="234"/>
      <c r="S841" s="235"/>
      <c r="T841" s="235"/>
      <c r="U841" s="235"/>
      <c r="V841" s="235"/>
      <c r="W841" s="235"/>
      <c r="X841" s="235"/>
      <c r="Y841" s="235"/>
      <c r="Z841" s="235"/>
      <c r="AA841" s="235"/>
    </row>
    <row r="842" spans="1:27" ht="10.5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61"/>
      <c r="L842" s="235"/>
      <c r="M842" s="235"/>
      <c r="N842" s="235"/>
      <c r="O842" s="235"/>
      <c r="P842" s="235"/>
      <c r="Q842" s="298"/>
      <c r="R842" s="234"/>
      <c r="S842" s="235"/>
      <c r="T842" s="235"/>
      <c r="U842" s="235"/>
      <c r="V842" s="235"/>
      <c r="W842" s="235"/>
      <c r="X842" s="235"/>
      <c r="Y842" s="235"/>
      <c r="Z842" s="235"/>
      <c r="AA842" s="235"/>
    </row>
    <row r="843" spans="1:27" ht="10.5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61"/>
      <c r="L843" s="235"/>
      <c r="M843" s="235"/>
      <c r="N843" s="235"/>
      <c r="O843" s="235"/>
      <c r="P843" s="235"/>
      <c r="Q843" s="298"/>
      <c r="R843" s="234"/>
      <c r="S843" s="235"/>
      <c r="T843" s="235"/>
      <c r="U843" s="235"/>
      <c r="V843" s="235"/>
      <c r="W843" s="235"/>
      <c r="X843" s="235"/>
      <c r="Y843" s="235"/>
      <c r="Z843" s="235"/>
      <c r="AA843" s="235"/>
    </row>
    <row r="844" spans="1:27" ht="10.5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61"/>
      <c r="L844" s="235"/>
      <c r="M844" s="235"/>
      <c r="N844" s="235"/>
      <c r="O844" s="235"/>
      <c r="P844" s="235"/>
      <c r="Q844" s="298"/>
      <c r="R844" s="234"/>
      <c r="S844" s="235"/>
      <c r="T844" s="235"/>
      <c r="U844" s="235"/>
      <c r="V844" s="235"/>
      <c r="W844" s="235"/>
      <c r="X844" s="235"/>
      <c r="Y844" s="235"/>
      <c r="Z844" s="235"/>
      <c r="AA844" s="235"/>
    </row>
    <row r="845" spans="1:27" ht="10.5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61"/>
      <c r="L845" s="235"/>
      <c r="M845" s="235"/>
      <c r="N845" s="235"/>
      <c r="O845" s="235"/>
      <c r="P845" s="235"/>
      <c r="Q845" s="298"/>
      <c r="R845" s="234"/>
      <c r="S845" s="235"/>
      <c r="T845" s="235"/>
      <c r="U845" s="235"/>
      <c r="V845" s="235"/>
      <c r="W845" s="235"/>
      <c r="X845" s="235"/>
      <c r="Y845" s="235"/>
      <c r="Z845" s="235"/>
      <c r="AA845" s="235"/>
    </row>
    <row r="846" spans="1:27" ht="10.5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61"/>
      <c r="L846" s="235"/>
      <c r="M846" s="235"/>
      <c r="N846" s="235"/>
      <c r="O846" s="235"/>
      <c r="P846" s="235"/>
      <c r="Q846" s="298"/>
      <c r="R846" s="234"/>
      <c r="S846" s="235"/>
      <c r="T846" s="235"/>
      <c r="U846" s="235"/>
      <c r="V846" s="235"/>
      <c r="W846" s="235"/>
      <c r="X846" s="235"/>
      <c r="Y846" s="235"/>
      <c r="Z846" s="235"/>
      <c r="AA846" s="235"/>
    </row>
    <row r="847" spans="1:27" ht="10.5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61"/>
      <c r="L847" s="235"/>
      <c r="M847" s="235"/>
      <c r="N847" s="235"/>
      <c r="O847" s="235"/>
      <c r="P847" s="235"/>
      <c r="Q847" s="298"/>
      <c r="R847" s="234"/>
      <c r="S847" s="235"/>
      <c r="T847" s="235"/>
      <c r="U847" s="235"/>
      <c r="V847" s="235"/>
      <c r="W847" s="235"/>
      <c r="X847" s="235"/>
      <c r="Y847" s="235"/>
      <c r="Z847" s="235"/>
      <c r="AA847" s="235"/>
    </row>
    <row r="848" spans="1:27" ht="10.5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61"/>
      <c r="L848" s="235"/>
      <c r="M848" s="235"/>
      <c r="N848" s="235"/>
      <c r="O848" s="235"/>
      <c r="P848" s="235"/>
      <c r="Q848" s="298"/>
      <c r="R848" s="234"/>
      <c r="S848" s="235"/>
      <c r="T848" s="235"/>
      <c r="U848" s="235"/>
      <c r="V848" s="235"/>
      <c r="W848" s="235"/>
      <c r="X848" s="235"/>
      <c r="Y848" s="235"/>
      <c r="Z848" s="235"/>
      <c r="AA848" s="235"/>
    </row>
    <row r="849" spans="1:27" ht="10.5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61"/>
      <c r="L849" s="235"/>
      <c r="M849" s="235"/>
      <c r="N849" s="235"/>
      <c r="O849" s="235"/>
      <c r="P849" s="235"/>
      <c r="Q849" s="298"/>
      <c r="R849" s="234"/>
      <c r="S849" s="235"/>
      <c r="T849" s="235"/>
      <c r="U849" s="235"/>
      <c r="V849" s="235"/>
      <c r="W849" s="235"/>
      <c r="X849" s="235"/>
      <c r="Y849" s="235"/>
      <c r="Z849" s="235"/>
      <c r="AA849" s="235"/>
    </row>
    <row r="850" spans="1:27" ht="10.5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61"/>
      <c r="L850" s="235"/>
      <c r="M850" s="235"/>
      <c r="N850" s="235"/>
      <c r="O850" s="235"/>
      <c r="P850" s="235"/>
      <c r="Q850" s="298"/>
      <c r="R850" s="234"/>
      <c r="S850" s="235"/>
      <c r="T850" s="235"/>
      <c r="U850" s="235"/>
      <c r="V850" s="235"/>
      <c r="W850" s="235"/>
      <c r="X850" s="235"/>
      <c r="Y850" s="235"/>
      <c r="Z850" s="235"/>
      <c r="AA850" s="235"/>
    </row>
    <row r="851" spans="1:27" ht="10.5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61"/>
      <c r="L851" s="235"/>
      <c r="M851" s="235"/>
      <c r="N851" s="235"/>
      <c r="O851" s="235"/>
      <c r="P851" s="235"/>
      <c r="Q851" s="298"/>
      <c r="R851" s="234"/>
      <c r="S851" s="235"/>
      <c r="T851" s="235"/>
      <c r="U851" s="235"/>
      <c r="V851" s="235"/>
      <c r="W851" s="235"/>
      <c r="X851" s="235"/>
      <c r="Y851" s="235"/>
      <c r="Z851" s="235"/>
      <c r="AA851" s="235"/>
    </row>
    <row r="852" spans="1:27" ht="10.5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61"/>
      <c r="L852" s="235"/>
      <c r="M852" s="235"/>
      <c r="N852" s="235"/>
      <c r="O852" s="235"/>
      <c r="P852" s="235"/>
      <c r="Q852" s="298"/>
      <c r="R852" s="234"/>
      <c r="S852" s="235"/>
      <c r="T852" s="235"/>
      <c r="U852" s="235"/>
      <c r="V852" s="235"/>
      <c r="W852" s="235"/>
      <c r="X852" s="235"/>
      <c r="Y852" s="235"/>
      <c r="Z852" s="235"/>
      <c r="AA852" s="235"/>
    </row>
    <row r="853" spans="1:27" ht="10.5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61"/>
      <c r="L853" s="235"/>
      <c r="M853" s="235"/>
      <c r="N853" s="235"/>
      <c r="O853" s="235"/>
      <c r="P853" s="235"/>
      <c r="Q853" s="298"/>
      <c r="R853" s="234"/>
      <c r="S853" s="235"/>
      <c r="T853" s="235"/>
      <c r="U853" s="235"/>
      <c r="V853" s="235"/>
      <c r="W853" s="235"/>
      <c r="X853" s="235"/>
      <c r="Y853" s="235"/>
      <c r="Z853" s="235"/>
      <c r="AA853" s="235"/>
    </row>
    <row r="854" spans="1:27" ht="10.5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61"/>
      <c r="L854" s="235"/>
      <c r="M854" s="235"/>
      <c r="N854" s="235"/>
      <c r="O854" s="235"/>
      <c r="P854" s="235"/>
      <c r="Q854" s="298"/>
      <c r="R854" s="234"/>
      <c r="S854" s="235"/>
      <c r="T854" s="235"/>
      <c r="U854" s="235"/>
      <c r="V854" s="235"/>
      <c r="W854" s="235"/>
      <c r="X854" s="235"/>
      <c r="Y854" s="235"/>
      <c r="Z854" s="235"/>
      <c r="AA854" s="235"/>
    </row>
    <row r="855" spans="1:27" ht="10.5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61"/>
      <c r="L855" s="235"/>
      <c r="M855" s="235"/>
      <c r="N855" s="235"/>
      <c r="O855" s="235"/>
      <c r="P855" s="235"/>
      <c r="Q855" s="298"/>
      <c r="R855" s="234"/>
      <c r="S855" s="235"/>
      <c r="T855" s="235"/>
      <c r="U855" s="235"/>
      <c r="V855" s="235"/>
      <c r="W855" s="235"/>
      <c r="X855" s="235"/>
      <c r="Y855" s="235"/>
      <c r="Z855" s="235"/>
      <c r="AA855" s="235"/>
    </row>
    <row r="856" spans="1:27" ht="10.5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61"/>
      <c r="L856" s="235"/>
      <c r="M856" s="235"/>
      <c r="N856" s="235"/>
      <c r="O856" s="235"/>
      <c r="P856" s="235"/>
      <c r="Q856" s="298"/>
      <c r="R856" s="234"/>
      <c r="S856" s="235"/>
      <c r="T856" s="235"/>
      <c r="U856" s="235"/>
      <c r="V856" s="235"/>
      <c r="W856" s="235"/>
      <c r="X856" s="235"/>
      <c r="Y856" s="235"/>
      <c r="Z856" s="235"/>
      <c r="AA856" s="235"/>
    </row>
    <row r="857" spans="1:27" ht="10.5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61"/>
      <c r="L857" s="235"/>
      <c r="M857" s="235"/>
      <c r="N857" s="235"/>
      <c r="O857" s="235"/>
      <c r="P857" s="235"/>
      <c r="Q857" s="298"/>
      <c r="R857" s="234"/>
      <c r="S857" s="235"/>
      <c r="T857" s="235"/>
      <c r="U857" s="235"/>
      <c r="V857" s="235"/>
      <c r="W857" s="235"/>
      <c r="X857" s="235"/>
      <c r="Y857" s="235"/>
      <c r="Z857" s="235"/>
      <c r="AA857" s="235"/>
    </row>
    <row r="858" spans="1:27" ht="10.5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61"/>
      <c r="L858" s="235"/>
      <c r="M858" s="235"/>
      <c r="N858" s="235"/>
      <c r="O858" s="235"/>
      <c r="P858" s="235"/>
      <c r="Q858" s="298"/>
      <c r="R858" s="234"/>
      <c r="S858" s="235"/>
      <c r="T858" s="235"/>
      <c r="U858" s="235"/>
      <c r="V858" s="235"/>
      <c r="W858" s="235"/>
      <c r="X858" s="235"/>
      <c r="Y858" s="235"/>
      <c r="Z858" s="235"/>
      <c r="AA858" s="235"/>
    </row>
    <row r="859" spans="1:27" ht="10.5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61"/>
      <c r="L859" s="235"/>
      <c r="M859" s="235"/>
      <c r="N859" s="235"/>
      <c r="O859" s="235"/>
      <c r="P859" s="235"/>
      <c r="Q859" s="298"/>
      <c r="R859" s="234"/>
      <c r="S859" s="235"/>
      <c r="T859" s="235"/>
      <c r="U859" s="235"/>
      <c r="V859" s="235"/>
      <c r="W859" s="235"/>
      <c r="X859" s="235"/>
      <c r="Y859" s="235"/>
      <c r="Z859" s="235"/>
      <c r="AA859" s="235"/>
    </row>
    <row r="860" spans="1:27" ht="10.5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61"/>
      <c r="L860" s="235"/>
      <c r="M860" s="235"/>
      <c r="N860" s="235"/>
      <c r="O860" s="235"/>
      <c r="P860" s="235"/>
      <c r="Q860" s="298"/>
      <c r="R860" s="234"/>
      <c r="S860" s="235"/>
      <c r="T860" s="235"/>
      <c r="U860" s="235"/>
      <c r="V860" s="235"/>
      <c r="W860" s="235"/>
      <c r="X860" s="235"/>
      <c r="Y860" s="235"/>
      <c r="Z860" s="235"/>
      <c r="AA860" s="235"/>
    </row>
    <row r="861" spans="1:27" ht="10.5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61"/>
      <c r="L861" s="235"/>
      <c r="M861" s="235"/>
      <c r="N861" s="235"/>
      <c r="O861" s="235"/>
      <c r="P861" s="235"/>
      <c r="Q861" s="298"/>
      <c r="R861" s="234"/>
      <c r="S861" s="235"/>
      <c r="T861" s="235"/>
      <c r="U861" s="235"/>
      <c r="V861" s="235"/>
      <c r="W861" s="235"/>
      <c r="X861" s="235"/>
      <c r="Y861" s="235"/>
      <c r="Z861" s="235"/>
      <c r="AA861" s="235"/>
    </row>
    <row r="862" spans="1:27" ht="10.5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61"/>
      <c r="L862" s="235"/>
      <c r="M862" s="235"/>
      <c r="N862" s="235"/>
      <c r="O862" s="235"/>
      <c r="P862" s="235"/>
      <c r="Q862" s="298"/>
      <c r="R862" s="234"/>
      <c r="S862" s="235"/>
      <c r="T862" s="235"/>
      <c r="U862" s="235"/>
      <c r="V862" s="235"/>
      <c r="W862" s="235"/>
      <c r="X862" s="235"/>
      <c r="Y862" s="235"/>
      <c r="Z862" s="235"/>
      <c r="AA862" s="235"/>
    </row>
    <row r="863" spans="1:27" ht="10.5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61"/>
      <c r="L863" s="235"/>
      <c r="M863" s="235"/>
      <c r="N863" s="235"/>
      <c r="O863" s="235"/>
      <c r="P863" s="235"/>
      <c r="Q863" s="298"/>
      <c r="R863" s="234"/>
      <c r="S863" s="235"/>
      <c r="T863" s="235"/>
      <c r="U863" s="235"/>
      <c r="V863" s="235"/>
      <c r="W863" s="235"/>
      <c r="X863" s="235"/>
      <c r="Y863" s="235"/>
      <c r="Z863" s="235"/>
      <c r="AA863" s="235"/>
    </row>
    <row r="864" spans="1:27" ht="10.5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61"/>
      <c r="L864" s="235"/>
      <c r="M864" s="235"/>
      <c r="N864" s="235"/>
      <c r="O864" s="235"/>
      <c r="P864" s="235"/>
      <c r="Q864" s="298"/>
      <c r="R864" s="234"/>
      <c r="S864" s="235"/>
      <c r="T864" s="235"/>
      <c r="U864" s="235"/>
      <c r="V864" s="235"/>
      <c r="W864" s="235"/>
      <c r="X864" s="235"/>
      <c r="Y864" s="235"/>
      <c r="Z864" s="235"/>
      <c r="AA864" s="235"/>
    </row>
    <row r="865" spans="1:27" ht="10.5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61"/>
      <c r="L865" s="235"/>
      <c r="M865" s="235"/>
      <c r="N865" s="235"/>
      <c r="O865" s="235"/>
      <c r="P865" s="235"/>
      <c r="Q865" s="298"/>
      <c r="R865" s="234"/>
      <c r="S865" s="235"/>
      <c r="T865" s="235"/>
      <c r="U865" s="235"/>
      <c r="V865" s="235"/>
      <c r="W865" s="235"/>
      <c r="X865" s="235"/>
      <c r="Y865" s="235"/>
      <c r="Z865" s="235"/>
      <c r="AA865" s="235"/>
    </row>
    <row r="866" spans="1:27" ht="10.5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61"/>
      <c r="L866" s="235"/>
      <c r="M866" s="235"/>
      <c r="N866" s="235"/>
      <c r="O866" s="235"/>
      <c r="P866" s="235"/>
      <c r="Q866" s="298"/>
      <c r="R866" s="234"/>
      <c r="S866" s="235"/>
      <c r="T866" s="235"/>
      <c r="U866" s="235"/>
      <c r="V866" s="235"/>
      <c r="W866" s="235"/>
      <c r="X866" s="235"/>
      <c r="Y866" s="235"/>
      <c r="Z866" s="235"/>
      <c r="AA866" s="235"/>
    </row>
    <row r="867" spans="1:27" ht="10.5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61"/>
      <c r="L867" s="235"/>
      <c r="M867" s="235"/>
      <c r="N867" s="235"/>
      <c r="O867" s="235"/>
      <c r="P867" s="235"/>
      <c r="Q867" s="298"/>
      <c r="R867" s="234"/>
      <c r="S867" s="235"/>
      <c r="T867" s="235"/>
      <c r="U867" s="235"/>
      <c r="V867" s="235"/>
      <c r="W867" s="235"/>
      <c r="X867" s="235"/>
      <c r="Y867" s="235"/>
      <c r="Z867" s="235"/>
      <c r="AA867" s="235"/>
    </row>
    <row r="868" spans="1:27" ht="10.5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61"/>
      <c r="L868" s="235"/>
      <c r="M868" s="235"/>
      <c r="N868" s="235"/>
      <c r="O868" s="235"/>
      <c r="P868" s="235"/>
      <c r="Q868" s="298"/>
      <c r="R868" s="234"/>
      <c r="S868" s="235"/>
      <c r="T868" s="235"/>
      <c r="U868" s="235"/>
      <c r="V868" s="235"/>
      <c r="W868" s="235"/>
      <c r="X868" s="235"/>
      <c r="Y868" s="235"/>
      <c r="Z868" s="235"/>
      <c r="AA868" s="235"/>
    </row>
    <row r="869" spans="1:27" ht="10.5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61"/>
      <c r="L869" s="235"/>
      <c r="M869" s="235"/>
      <c r="N869" s="235"/>
      <c r="O869" s="235"/>
      <c r="P869" s="235"/>
      <c r="Q869" s="298"/>
      <c r="R869" s="234"/>
      <c r="S869" s="235"/>
      <c r="T869" s="235"/>
      <c r="U869" s="235"/>
      <c r="V869" s="235"/>
      <c r="W869" s="235"/>
      <c r="X869" s="235"/>
      <c r="Y869" s="235"/>
      <c r="Z869" s="235"/>
      <c r="AA869" s="235"/>
    </row>
    <row r="870" spans="1:27" ht="10.5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61"/>
      <c r="L870" s="235"/>
      <c r="M870" s="235"/>
      <c r="N870" s="235"/>
      <c r="O870" s="235"/>
      <c r="P870" s="235"/>
      <c r="Q870" s="298"/>
      <c r="R870" s="234"/>
      <c r="S870" s="235"/>
      <c r="T870" s="235"/>
      <c r="U870" s="235"/>
      <c r="V870" s="235"/>
      <c r="W870" s="235"/>
      <c r="X870" s="235"/>
      <c r="Y870" s="235"/>
      <c r="Z870" s="235"/>
      <c r="AA870" s="235"/>
    </row>
    <row r="871" spans="1:27" ht="10.5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61"/>
      <c r="L871" s="235"/>
      <c r="M871" s="235"/>
      <c r="N871" s="235"/>
      <c r="O871" s="235"/>
      <c r="P871" s="235"/>
      <c r="Q871" s="298"/>
      <c r="R871" s="234"/>
      <c r="S871" s="235"/>
      <c r="T871" s="235"/>
      <c r="U871" s="235"/>
      <c r="V871" s="235"/>
      <c r="W871" s="235"/>
      <c r="X871" s="235"/>
      <c r="Y871" s="235"/>
      <c r="Z871" s="235"/>
      <c r="AA871" s="235"/>
    </row>
    <row r="872" spans="1:27" ht="10.5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61"/>
      <c r="L872" s="235"/>
      <c r="M872" s="235"/>
      <c r="N872" s="235"/>
      <c r="O872" s="235"/>
      <c r="P872" s="235"/>
      <c r="Q872" s="298"/>
      <c r="R872" s="234"/>
      <c r="S872" s="235"/>
      <c r="T872" s="235"/>
      <c r="U872" s="235"/>
      <c r="V872" s="235"/>
      <c r="W872" s="235"/>
      <c r="X872" s="235"/>
      <c r="Y872" s="235"/>
      <c r="Z872" s="235"/>
      <c r="AA872" s="235"/>
    </row>
    <row r="873" spans="1:27" ht="10.5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61"/>
      <c r="L873" s="235"/>
      <c r="M873" s="235"/>
      <c r="N873" s="235"/>
      <c r="O873" s="235"/>
      <c r="P873" s="235"/>
      <c r="Q873" s="298"/>
      <c r="R873" s="234"/>
      <c r="S873" s="235"/>
      <c r="T873" s="235"/>
      <c r="U873" s="235"/>
      <c r="V873" s="235"/>
      <c r="W873" s="235"/>
      <c r="X873" s="235"/>
      <c r="Y873" s="235"/>
      <c r="Z873" s="235"/>
      <c r="AA873" s="235"/>
    </row>
    <row r="874" spans="1:27" ht="10.5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61"/>
      <c r="L874" s="235"/>
      <c r="M874" s="235"/>
      <c r="N874" s="235"/>
      <c r="O874" s="235"/>
      <c r="P874" s="235"/>
      <c r="Q874" s="298"/>
      <c r="R874" s="234"/>
      <c r="S874" s="235"/>
      <c r="T874" s="235"/>
      <c r="U874" s="235"/>
      <c r="V874" s="235"/>
      <c r="W874" s="235"/>
      <c r="X874" s="235"/>
      <c r="Y874" s="235"/>
      <c r="Z874" s="235"/>
      <c r="AA874" s="235"/>
    </row>
    <row r="875" spans="1:27" ht="10.5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61"/>
      <c r="L875" s="235"/>
      <c r="M875" s="235"/>
      <c r="N875" s="235"/>
      <c r="O875" s="235"/>
      <c r="P875" s="235"/>
      <c r="Q875" s="298"/>
      <c r="R875" s="234"/>
      <c r="S875" s="235"/>
      <c r="T875" s="235"/>
      <c r="U875" s="235"/>
      <c r="V875" s="235"/>
      <c r="W875" s="235"/>
      <c r="X875" s="235"/>
      <c r="Y875" s="235"/>
      <c r="Z875" s="235"/>
      <c r="AA875" s="235"/>
    </row>
    <row r="876" spans="1:27" ht="10.5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61"/>
      <c r="L876" s="235"/>
      <c r="M876" s="235"/>
      <c r="N876" s="235"/>
      <c r="O876" s="235"/>
      <c r="P876" s="235"/>
      <c r="Q876" s="298"/>
      <c r="R876" s="234"/>
      <c r="S876" s="235"/>
      <c r="T876" s="235"/>
      <c r="U876" s="235"/>
      <c r="V876" s="235"/>
      <c r="W876" s="235"/>
      <c r="X876" s="235"/>
      <c r="Y876" s="235"/>
      <c r="Z876" s="235"/>
      <c r="AA876" s="235"/>
    </row>
    <row r="877" spans="1:27" ht="10.5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61"/>
      <c r="L877" s="235"/>
      <c r="M877" s="235"/>
      <c r="N877" s="235"/>
      <c r="O877" s="235"/>
      <c r="P877" s="235"/>
      <c r="Q877" s="298"/>
      <c r="R877" s="234"/>
      <c r="S877" s="235"/>
      <c r="T877" s="235"/>
      <c r="U877" s="235"/>
      <c r="V877" s="235"/>
      <c r="W877" s="235"/>
      <c r="X877" s="235"/>
      <c r="Y877" s="235"/>
      <c r="Z877" s="235"/>
      <c r="AA877" s="235"/>
    </row>
    <row r="878" spans="1:27" ht="10.5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61"/>
      <c r="L878" s="235"/>
      <c r="M878" s="235"/>
      <c r="N878" s="235"/>
      <c r="O878" s="235"/>
      <c r="P878" s="235"/>
      <c r="Q878" s="298"/>
      <c r="R878" s="234"/>
      <c r="S878" s="235"/>
      <c r="T878" s="235"/>
      <c r="U878" s="235"/>
      <c r="V878" s="235"/>
      <c r="W878" s="235"/>
      <c r="X878" s="235"/>
      <c r="Y878" s="235"/>
      <c r="Z878" s="235"/>
      <c r="AA878" s="235"/>
    </row>
    <row r="879" spans="1:27" ht="10.5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61"/>
      <c r="L879" s="235"/>
      <c r="M879" s="235"/>
      <c r="N879" s="235"/>
      <c r="O879" s="235"/>
      <c r="P879" s="235"/>
      <c r="Q879" s="298"/>
      <c r="R879" s="234"/>
      <c r="S879" s="235"/>
      <c r="T879" s="235"/>
      <c r="U879" s="235"/>
      <c r="V879" s="235"/>
      <c r="W879" s="235"/>
      <c r="X879" s="235"/>
      <c r="Y879" s="235"/>
      <c r="Z879" s="235"/>
      <c r="AA879" s="235"/>
    </row>
    <row r="880" spans="1:27" ht="10.5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61"/>
      <c r="L880" s="235"/>
      <c r="M880" s="235"/>
      <c r="N880" s="235"/>
      <c r="O880" s="235"/>
      <c r="P880" s="235"/>
      <c r="Q880" s="298"/>
      <c r="R880" s="234"/>
      <c r="S880" s="235"/>
      <c r="T880" s="235"/>
      <c r="U880" s="235"/>
      <c r="V880" s="235"/>
      <c r="W880" s="235"/>
      <c r="X880" s="235"/>
      <c r="Y880" s="235"/>
      <c r="Z880" s="235"/>
      <c r="AA880" s="235"/>
    </row>
    <row r="881" spans="1:27" ht="10.5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61"/>
      <c r="L881" s="235"/>
      <c r="M881" s="235"/>
      <c r="N881" s="235"/>
      <c r="O881" s="235"/>
      <c r="P881" s="235"/>
      <c r="Q881" s="298"/>
      <c r="R881" s="234"/>
      <c r="S881" s="235"/>
      <c r="T881" s="235"/>
      <c r="U881" s="235"/>
      <c r="V881" s="235"/>
      <c r="W881" s="235"/>
      <c r="X881" s="235"/>
      <c r="Y881" s="235"/>
      <c r="Z881" s="235"/>
      <c r="AA881" s="235"/>
    </row>
    <row r="882" spans="1:27" ht="10.5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61"/>
      <c r="L882" s="235"/>
      <c r="M882" s="235"/>
      <c r="N882" s="235"/>
      <c r="O882" s="235"/>
      <c r="P882" s="235"/>
      <c r="Q882" s="298"/>
      <c r="R882" s="234"/>
      <c r="S882" s="235"/>
      <c r="T882" s="235"/>
      <c r="U882" s="235"/>
      <c r="V882" s="235"/>
      <c r="W882" s="235"/>
      <c r="X882" s="235"/>
      <c r="Y882" s="235"/>
      <c r="Z882" s="235"/>
      <c r="AA882" s="235"/>
    </row>
    <row r="883" spans="1:27" ht="10.5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61"/>
      <c r="L883" s="235"/>
      <c r="M883" s="235"/>
      <c r="N883" s="235"/>
      <c r="O883" s="235"/>
      <c r="P883" s="235"/>
      <c r="Q883" s="298"/>
      <c r="R883" s="234"/>
      <c r="S883" s="235"/>
      <c r="T883" s="235"/>
      <c r="U883" s="235"/>
      <c r="V883" s="235"/>
      <c r="W883" s="235"/>
      <c r="X883" s="235"/>
      <c r="Y883" s="235"/>
      <c r="Z883" s="235"/>
      <c r="AA883" s="235"/>
    </row>
    <row r="884" spans="1:27" ht="10.5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61"/>
      <c r="L884" s="235"/>
      <c r="M884" s="235"/>
      <c r="N884" s="235"/>
      <c r="O884" s="235"/>
      <c r="P884" s="235"/>
      <c r="Q884" s="298"/>
      <c r="R884" s="234"/>
      <c r="S884" s="235"/>
      <c r="T884" s="235"/>
      <c r="U884" s="235"/>
      <c r="V884" s="235"/>
      <c r="W884" s="235"/>
      <c r="X884" s="235"/>
      <c r="Y884" s="235"/>
      <c r="Z884" s="235"/>
      <c r="AA884" s="235"/>
    </row>
    <row r="885" spans="1:27" ht="10.5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61"/>
      <c r="L885" s="235"/>
      <c r="M885" s="235"/>
      <c r="N885" s="235"/>
      <c r="O885" s="235"/>
      <c r="P885" s="235"/>
      <c r="Q885" s="298"/>
      <c r="R885" s="234"/>
      <c r="S885" s="235"/>
      <c r="T885" s="235"/>
      <c r="U885" s="235"/>
      <c r="V885" s="235"/>
      <c r="W885" s="235"/>
      <c r="X885" s="235"/>
      <c r="Y885" s="235"/>
      <c r="Z885" s="235"/>
      <c r="AA885" s="235"/>
    </row>
    <row r="886" spans="1:27" ht="10.5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61"/>
      <c r="L886" s="235"/>
      <c r="M886" s="235"/>
      <c r="N886" s="235"/>
      <c r="O886" s="235"/>
      <c r="P886" s="235"/>
      <c r="Q886" s="298"/>
      <c r="R886" s="234"/>
      <c r="S886" s="235"/>
      <c r="T886" s="235"/>
      <c r="U886" s="235"/>
      <c r="V886" s="235"/>
      <c r="W886" s="235"/>
      <c r="X886" s="235"/>
      <c r="Y886" s="235"/>
      <c r="Z886" s="235"/>
      <c r="AA886" s="235"/>
    </row>
    <row r="887" spans="1:27" ht="10.5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61"/>
      <c r="L887" s="235"/>
      <c r="M887" s="235"/>
      <c r="N887" s="235"/>
      <c r="O887" s="235"/>
      <c r="P887" s="235"/>
      <c r="Q887" s="298"/>
      <c r="R887" s="234"/>
      <c r="S887" s="235"/>
      <c r="T887" s="235"/>
      <c r="U887" s="235"/>
      <c r="V887" s="235"/>
      <c r="W887" s="235"/>
      <c r="X887" s="235"/>
      <c r="Y887" s="235"/>
      <c r="Z887" s="235"/>
      <c r="AA887" s="235"/>
    </row>
    <row r="888" spans="1:27" ht="10.5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61"/>
      <c r="L888" s="235"/>
      <c r="M888" s="235"/>
      <c r="N888" s="235"/>
      <c r="O888" s="235"/>
      <c r="P888" s="235"/>
      <c r="Q888" s="298"/>
      <c r="R888" s="234"/>
      <c r="S888" s="235"/>
      <c r="T888" s="235"/>
      <c r="U888" s="235"/>
      <c r="V888" s="235"/>
      <c r="W888" s="235"/>
      <c r="X888" s="235"/>
      <c r="Y888" s="235"/>
      <c r="Z888" s="235"/>
      <c r="AA888" s="235"/>
    </row>
    <row r="889" spans="1:27" ht="10.5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61"/>
      <c r="L889" s="235"/>
      <c r="M889" s="235"/>
      <c r="N889" s="235"/>
      <c r="O889" s="235"/>
      <c r="P889" s="235"/>
      <c r="Q889" s="298"/>
      <c r="R889" s="234"/>
      <c r="S889" s="235"/>
      <c r="T889" s="235"/>
      <c r="U889" s="235"/>
      <c r="V889" s="235"/>
      <c r="W889" s="235"/>
      <c r="X889" s="235"/>
      <c r="Y889" s="235"/>
      <c r="Z889" s="235"/>
      <c r="AA889" s="235"/>
    </row>
    <row r="890" spans="1:27" ht="10.5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61"/>
      <c r="L890" s="235"/>
      <c r="M890" s="235"/>
      <c r="N890" s="235"/>
      <c r="O890" s="235"/>
      <c r="P890" s="235"/>
      <c r="Q890" s="298"/>
      <c r="R890" s="234"/>
      <c r="S890" s="235"/>
      <c r="T890" s="235"/>
      <c r="U890" s="235"/>
      <c r="V890" s="235"/>
      <c r="W890" s="235"/>
      <c r="X890" s="235"/>
      <c r="Y890" s="235"/>
      <c r="Z890" s="235"/>
      <c r="AA890" s="235"/>
    </row>
    <row r="891" spans="1:27" ht="10.5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61"/>
      <c r="L891" s="235"/>
      <c r="M891" s="235"/>
      <c r="N891" s="235"/>
      <c r="O891" s="235"/>
      <c r="P891" s="235"/>
      <c r="Q891" s="298"/>
      <c r="R891" s="234"/>
      <c r="S891" s="235"/>
      <c r="T891" s="235"/>
      <c r="U891" s="235"/>
      <c r="V891" s="235"/>
      <c r="W891" s="235"/>
      <c r="X891" s="235"/>
      <c r="Y891" s="235"/>
      <c r="Z891" s="235"/>
      <c r="AA891" s="235"/>
    </row>
    <row r="892" spans="1:27" ht="10.5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61"/>
      <c r="L892" s="235"/>
      <c r="M892" s="235"/>
      <c r="N892" s="235"/>
      <c r="O892" s="235"/>
      <c r="P892" s="235"/>
      <c r="Q892" s="298"/>
      <c r="R892" s="234"/>
      <c r="S892" s="235"/>
      <c r="T892" s="235"/>
      <c r="U892" s="235"/>
      <c r="V892" s="235"/>
      <c r="W892" s="235"/>
      <c r="X892" s="235"/>
      <c r="Y892" s="235"/>
      <c r="Z892" s="235"/>
      <c r="AA892" s="235"/>
    </row>
    <row r="893" spans="1:27" ht="10.5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61"/>
      <c r="L893" s="235"/>
      <c r="M893" s="235"/>
      <c r="N893" s="235"/>
      <c r="O893" s="235"/>
      <c r="P893" s="235"/>
      <c r="Q893" s="298"/>
      <c r="R893" s="234"/>
      <c r="S893" s="235"/>
      <c r="T893" s="235"/>
      <c r="U893" s="235"/>
      <c r="V893" s="235"/>
      <c r="W893" s="235"/>
      <c r="X893" s="235"/>
      <c r="Y893" s="235"/>
      <c r="Z893" s="235"/>
      <c r="AA893" s="235"/>
    </row>
    <row r="894" spans="1:27" ht="10.5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61"/>
      <c r="L894" s="235"/>
      <c r="M894" s="235"/>
      <c r="N894" s="235"/>
      <c r="O894" s="235"/>
      <c r="P894" s="235"/>
      <c r="Q894" s="298"/>
      <c r="R894" s="234"/>
      <c r="S894" s="235"/>
      <c r="T894" s="235"/>
      <c r="U894" s="235"/>
      <c r="V894" s="235"/>
      <c r="W894" s="235"/>
      <c r="X894" s="235"/>
      <c r="Y894" s="235"/>
      <c r="Z894" s="235"/>
      <c r="AA894" s="235"/>
    </row>
    <row r="895" spans="1:27" ht="10.5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61"/>
      <c r="L895" s="235"/>
      <c r="M895" s="235"/>
      <c r="N895" s="235"/>
      <c r="O895" s="235"/>
      <c r="P895" s="235"/>
      <c r="Q895" s="298"/>
      <c r="R895" s="234"/>
      <c r="S895" s="235"/>
      <c r="T895" s="235"/>
      <c r="U895" s="235"/>
      <c r="V895" s="235"/>
      <c r="W895" s="235"/>
      <c r="X895" s="235"/>
      <c r="Y895" s="235"/>
      <c r="Z895" s="235"/>
      <c r="AA895" s="235"/>
    </row>
    <row r="896" spans="1:27" ht="10.5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61"/>
      <c r="L896" s="235"/>
      <c r="M896" s="235"/>
      <c r="N896" s="235"/>
      <c r="O896" s="235"/>
      <c r="P896" s="235"/>
      <c r="Q896" s="298"/>
      <c r="R896" s="234"/>
      <c r="S896" s="235"/>
      <c r="T896" s="235"/>
      <c r="U896" s="235"/>
      <c r="V896" s="235"/>
      <c r="W896" s="235"/>
      <c r="X896" s="235"/>
      <c r="Y896" s="235"/>
      <c r="Z896" s="235"/>
      <c r="AA896" s="235"/>
    </row>
    <row r="897" spans="1:27" ht="10.5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61"/>
      <c r="L897" s="235"/>
      <c r="M897" s="235"/>
      <c r="N897" s="235"/>
      <c r="O897" s="235"/>
      <c r="P897" s="235"/>
      <c r="Q897" s="298"/>
      <c r="R897" s="234"/>
      <c r="S897" s="235"/>
      <c r="T897" s="235"/>
      <c r="U897" s="235"/>
      <c r="V897" s="235"/>
      <c r="W897" s="235"/>
      <c r="X897" s="235"/>
      <c r="Y897" s="235"/>
      <c r="Z897" s="235"/>
      <c r="AA897" s="235"/>
    </row>
    <row r="898" spans="1:27" ht="10.5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61"/>
      <c r="L898" s="235"/>
      <c r="M898" s="235"/>
      <c r="N898" s="235"/>
      <c r="O898" s="235"/>
      <c r="P898" s="235"/>
      <c r="Q898" s="298"/>
      <c r="R898" s="234"/>
      <c r="S898" s="235"/>
      <c r="T898" s="235"/>
      <c r="U898" s="235"/>
      <c r="V898" s="235"/>
      <c r="W898" s="235"/>
      <c r="X898" s="235"/>
      <c r="Y898" s="235"/>
      <c r="Z898" s="235"/>
      <c r="AA898" s="235"/>
    </row>
    <row r="899" spans="1:27" ht="10.5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61"/>
      <c r="L899" s="235"/>
      <c r="M899" s="235"/>
      <c r="N899" s="235"/>
      <c r="O899" s="235"/>
      <c r="P899" s="235"/>
      <c r="Q899" s="298"/>
      <c r="R899" s="234"/>
      <c r="S899" s="235"/>
      <c r="T899" s="235"/>
      <c r="U899" s="235"/>
      <c r="V899" s="235"/>
      <c r="W899" s="235"/>
      <c r="X899" s="235"/>
      <c r="Y899" s="235"/>
      <c r="Z899" s="235"/>
      <c r="AA899" s="235"/>
    </row>
    <row r="900" spans="1:27" ht="10.5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61"/>
      <c r="L900" s="235"/>
      <c r="M900" s="235"/>
      <c r="N900" s="235"/>
      <c r="O900" s="235"/>
      <c r="P900" s="235"/>
      <c r="Q900" s="298"/>
      <c r="R900" s="234"/>
      <c r="S900" s="235"/>
      <c r="T900" s="235"/>
      <c r="U900" s="235"/>
      <c r="V900" s="235"/>
      <c r="W900" s="235"/>
      <c r="X900" s="235"/>
      <c r="Y900" s="235"/>
      <c r="Z900" s="235"/>
      <c r="AA900" s="235"/>
    </row>
    <row r="901" spans="1:27" ht="10.5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61"/>
      <c r="L901" s="235"/>
      <c r="M901" s="235"/>
      <c r="N901" s="235"/>
      <c r="O901" s="235"/>
      <c r="P901" s="235"/>
      <c r="Q901" s="298"/>
      <c r="R901" s="234"/>
      <c r="S901" s="235"/>
      <c r="T901" s="235"/>
      <c r="U901" s="235"/>
      <c r="V901" s="235"/>
      <c r="W901" s="235"/>
      <c r="X901" s="235"/>
      <c r="Y901" s="235"/>
      <c r="Z901" s="235"/>
      <c r="AA901" s="235"/>
    </row>
    <row r="902" spans="1:27" ht="10.5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61"/>
      <c r="L902" s="235"/>
      <c r="M902" s="235"/>
      <c r="N902" s="235"/>
      <c r="O902" s="235"/>
      <c r="P902" s="235"/>
      <c r="Q902" s="298"/>
      <c r="R902" s="234"/>
      <c r="S902" s="235"/>
      <c r="T902" s="235"/>
      <c r="U902" s="235"/>
      <c r="V902" s="235"/>
      <c r="W902" s="235"/>
      <c r="X902" s="235"/>
      <c r="Y902" s="235"/>
      <c r="Z902" s="235"/>
      <c r="AA902" s="235"/>
    </row>
    <row r="903" spans="1:27" ht="10.5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61"/>
      <c r="L903" s="235"/>
      <c r="M903" s="235"/>
      <c r="N903" s="235"/>
      <c r="O903" s="235"/>
      <c r="P903" s="235"/>
      <c r="Q903" s="298"/>
      <c r="R903" s="234"/>
      <c r="S903" s="235"/>
      <c r="T903" s="235"/>
      <c r="U903" s="235"/>
      <c r="V903" s="235"/>
      <c r="W903" s="235"/>
      <c r="X903" s="235"/>
      <c r="Y903" s="235"/>
      <c r="Z903" s="235"/>
      <c r="AA903" s="235"/>
    </row>
    <row r="904" spans="1:27" ht="10.5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61"/>
      <c r="L904" s="235"/>
      <c r="M904" s="235"/>
      <c r="N904" s="235"/>
      <c r="O904" s="235"/>
      <c r="P904" s="235"/>
      <c r="Q904" s="298"/>
      <c r="R904" s="234"/>
      <c r="S904" s="235"/>
      <c r="T904" s="235"/>
      <c r="U904" s="235"/>
      <c r="V904" s="235"/>
      <c r="W904" s="235"/>
      <c r="X904" s="235"/>
      <c r="Y904" s="235"/>
      <c r="Z904" s="235"/>
      <c r="AA904" s="235"/>
    </row>
    <row r="905" spans="1:27" ht="10.5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61"/>
      <c r="L905" s="235"/>
      <c r="M905" s="235"/>
      <c r="N905" s="235"/>
      <c r="O905" s="235"/>
      <c r="P905" s="235"/>
      <c r="Q905" s="298"/>
      <c r="R905" s="234"/>
      <c r="S905" s="235"/>
      <c r="T905" s="235"/>
      <c r="U905" s="235"/>
      <c r="V905" s="235"/>
      <c r="W905" s="235"/>
      <c r="X905" s="235"/>
      <c r="Y905" s="235"/>
      <c r="Z905" s="235"/>
      <c r="AA905" s="235"/>
    </row>
    <row r="906" spans="1:27" ht="10.5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61"/>
      <c r="L906" s="235"/>
      <c r="M906" s="235"/>
      <c r="N906" s="235"/>
      <c r="O906" s="235"/>
      <c r="P906" s="235"/>
      <c r="Q906" s="298"/>
      <c r="R906" s="234"/>
      <c r="S906" s="235"/>
      <c r="T906" s="235"/>
      <c r="U906" s="235"/>
      <c r="V906" s="235"/>
      <c r="W906" s="235"/>
      <c r="X906" s="235"/>
      <c r="Y906" s="235"/>
      <c r="Z906" s="235"/>
      <c r="AA906" s="235"/>
    </row>
    <row r="907" spans="1:27" ht="10.5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61"/>
      <c r="L907" s="235"/>
      <c r="M907" s="235"/>
      <c r="N907" s="235"/>
      <c r="O907" s="235"/>
      <c r="P907" s="235"/>
      <c r="Q907" s="298"/>
      <c r="R907" s="234"/>
      <c r="S907" s="235"/>
      <c r="T907" s="235"/>
      <c r="U907" s="235"/>
      <c r="V907" s="235"/>
      <c r="W907" s="235"/>
      <c r="X907" s="235"/>
      <c r="Y907" s="235"/>
      <c r="Z907" s="235"/>
      <c r="AA907" s="235"/>
    </row>
    <row r="908" spans="1:27" ht="10.5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61"/>
      <c r="L908" s="235"/>
      <c r="M908" s="235"/>
      <c r="N908" s="235"/>
      <c r="O908" s="235"/>
      <c r="P908" s="235"/>
      <c r="Q908" s="298"/>
      <c r="R908" s="234"/>
      <c r="S908" s="235"/>
      <c r="T908" s="235"/>
      <c r="U908" s="235"/>
      <c r="V908" s="235"/>
      <c r="W908" s="235"/>
      <c r="X908" s="235"/>
      <c r="Y908" s="235"/>
      <c r="Z908" s="235"/>
      <c r="AA908" s="235"/>
    </row>
    <row r="909" spans="1:27" ht="10.5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61"/>
      <c r="L909" s="235"/>
      <c r="M909" s="235"/>
      <c r="N909" s="235"/>
      <c r="O909" s="235"/>
      <c r="P909" s="235"/>
      <c r="Q909" s="298"/>
      <c r="R909" s="234"/>
      <c r="S909" s="235"/>
      <c r="T909" s="235"/>
      <c r="U909" s="235"/>
      <c r="V909" s="235"/>
      <c r="W909" s="235"/>
      <c r="X909" s="235"/>
      <c r="Y909" s="235"/>
      <c r="Z909" s="235"/>
      <c r="AA909" s="235"/>
    </row>
    <row r="910" spans="1:27" ht="10.5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61"/>
      <c r="L910" s="235"/>
      <c r="M910" s="235"/>
      <c r="N910" s="235"/>
      <c r="O910" s="235"/>
      <c r="P910" s="235"/>
      <c r="Q910" s="298"/>
      <c r="R910" s="234"/>
      <c r="S910" s="235"/>
      <c r="T910" s="235"/>
      <c r="U910" s="235"/>
      <c r="V910" s="235"/>
      <c r="W910" s="235"/>
      <c r="X910" s="235"/>
      <c r="Y910" s="235"/>
      <c r="Z910" s="235"/>
      <c r="AA910" s="235"/>
    </row>
    <row r="911" spans="1:27" ht="10.5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61"/>
      <c r="L911" s="235"/>
      <c r="M911" s="235"/>
      <c r="N911" s="235"/>
      <c r="O911" s="235"/>
      <c r="P911" s="235"/>
      <c r="Q911" s="298"/>
      <c r="R911" s="234"/>
      <c r="S911" s="235"/>
      <c r="T911" s="235"/>
      <c r="U911" s="235"/>
      <c r="V911" s="235"/>
      <c r="W911" s="235"/>
      <c r="X911" s="235"/>
      <c r="Y911" s="235"/>
      <c r="Z911" s="235"/>
      <c r="AA911" s="235"/>
    </row>
    <row r="912" spans="1:27" ht="10.5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61"/>
      <c r="L912" s="235"/>
      <c r="M912" s="235"/>
      <c r="N912" s="235"/>
      <c r="O912" s="235"/>
      <c r="P912" s="235"/>
      <c r="Q912" s="298"/>
      <c r="R912" s="234"/>
      <c r="S912" s="235"/>
      <c r="T912" s="235"/>
      <c r="U912" s="235"/>
      <c r="V912" s="235"/>
      <c r="W912" s="235"/>
      <c r="X912" s="235"/>
      <c r="Y912" s="235"/>
      <c r="Z912" s="235"/>
      <c r="AA912" s="235"/>
    </row>
    <row r="913" spans="1:27" ht="10.5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61"/>
      <c r="L913" s="235"/>
      <c r="M913" s="235"/>
      <c r="N913" s="235"/>
      <c r="O913" s="235"/>
      <c r="P913" s="235"/>
      <c r="Q913" s="298"/>
      <c r="R913" s="234"/>
      <c r="S913" s="235"/>
      <c r="T913" s="235"/>
      <c r="U913" s="235"/>
      <c r="V913" s="235"/>
      <c r="W913" s="235"/>
      <c r="X913" s="235"/>
      <c r="Y913" s="235"/>
      <c r="Z913" s="235"/>
      <c r="AA913" s="235"/>
    </row>
    <row r="914" spans="1:27" ht="10.5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61"/>
      <c r="L914" s="235"/>
      <c r="M914" s="235"/>
      <c r="N914" s="235"/>
      <c r="O914" s="235"/>
      <c r="P914" s="235"/>
      <c r="Q914" s="298"/>
      <c r="R914" s="234"/>
      <c r="S914" s="235"/>
      <c r="T914" s="235"/>
      <c r="U914" s="235"/>
      <c r="V914" s="235"/>
      <c r="W914" s="235"/>
      <c r="X914" s="235"/>
      <c r="Y914" s="235"/>
      <c r="Z914" s="235"/>
      <c r="AA914" s="235"/>
    </row>
    <row r="915" spans="1:27" ht="10.5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61"/>
      <c r="L915" s="235"/>
      <c r="M915" s="235"/>
      <c r="N915" s="235"/>
      <c r="O915" s="235"/>
      <c r="P915" s="235"/>
      <c r="Q915" s="298"/>
      <c r="R915" s="234"/>
      <c r="S915" s="235"/>
      <c r="T915" s="235"/>
      <c r="U915" s="235"/>
      <c r="V915" s="235"/>
      <c r="W915" s="235"/>
      <c r="X915" s="235"/>
      <c r="Y915" s="235"/>
      <c r="Z915" s="235"/>
      <c r="AA915" s="235"/>
    </row>
    <row r="916" spans="1:27" ht="10.5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61"/>
      <c r="L916" s="235"/>
      <c r="M916" s="235"/>
      <c r="N916" s="235"/>
      <c r="O916" s="235"/>
      <c r="P916" s="235"/>
      <c r="Q916" s="298"/>
      <c r="R916" s="234"/>
      <c r="S916" s="235"/>
      <c r="T916" s="235"/>
      <c r="U916" s="235"/>
      <c r="V916" s="235"/>
      <c r="W916" s="235"/>
      <c r="X916" s="235"/>
      <c r="Y916" s="235"/>
      <c r="Z916" s="235"/>
      <c r="AA916" s="235"/>
    </row>
    <row r="917" spans="1:27" ht="10.5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61"/>
      <c r="L917" s="235"/>
      <c r="M917" s="235"/>
      <c r="N917" s="235"/>
      <c r="O917" s="235"/>
      <c r="P917" s="235"/>
      <c r="Q917" s="298"/>
      <c r="R917" s="234"/>
      <c r="S917" s="235"/>
      <c r="T917" s="235"/>
      <c r="U917" s="235"/>
      <c r="V917" s="235"/>
      <c r="W917" s="235"/>
      <c r="X917" s="235"/>
      <c r="Y917" s="235"/>
      <c r="Z917" s="235"/>
      <c r="AA917" s="235"/>
    </row>
    <row r="918" spans="1:27" ht="10.5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61"/>
      <c r="L918" s="235"/>
      <c r="M918" s="235"/>
      <c r="N918" s="235"/>
      <c r="O918" s="235"/>
      <c r="P918" s="235"/>
      <c r="Q918" s="298"/>
      <c r="R918" s="234"/>
      <c r="S918" s="235"/>
      <c r="T918" s="235"/>
      <c r="U918" s="235"/>
      <c r="V918" s="235"/>
      <c r="W918" s="235"/>
      <c r="X918" s="235"/>
      <c r="Y918" s="235"/>
      <c r="Z918" s="235"/>
      <c r="AA918" s="235"/>
    </row>
    <row r="919" spans="1:27" ht="10.5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61"/>
      <c r="L919" s="235"/>
      <c r="M919" s="235"/>
      <c r="N919" s="235"/>
      <c r="O919" s="235"/>
      <c r="P919" s="235"/>
      <c r="Q919" s="298"/>
      <c r="R919" s="234"/>
      <c r="S919" s="235"/>
      <c r="T919" s="235"/>
      <c r="U919" s="235"/>
      <c r="V919" s="235"/>
      <c r="W919" s="235"/>
      <c r="X919" s="235"/>
      <c r="Y919" s="235"/>
      <c r="Z919" s="235"/>
      <c r="AA919" s="235"/>
    </row>
    <row r="920" spans="1:27" ht="10.5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61"/>
      <c r="L920" s="235"/>
      <c r="M920" s="235"/>
      <c r="N920" s="235"/>
      <c r="O920" s="235"/>
      <c r="P920" s="235"/>
      <c r="Q920" s="298"/>
      <c r="R920" s="234"/>
      <c r="S920" s="235"/>
      <c r="T920" s="235"/>
      <c r="U920" s="235"/>
      <c r="V920" s="235"/>
      <c r="W920" s="235"/>
      <c r="X920" s="235"/>
      <c r="Y920" s="235"/>
      <c r="Z920" s="235"/>
      <c r="AA920" s="235"/>
    </row>
    <row r="921" spans="1:27" ht="10.5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61"/>
      <c r="L921" s="235"/>
      <c r="M921" s="235"/>
      <c r="N921" s="235"/>
      <c r="O921" s="235"/>
      <c r="P921" s="235"/>
      <c r="Q921" s="298"/>
      <c r="R921" s="234"/>
      <c r="S921" s="235"/>
      <c r="T921" s="235"/>
      <c r="U921" s="235"/>
      <c r="V921" s="235"/>
      <c r="W921" s="235"/>
      <c r="X921" s="235"/>
      <c r="Y921" s="235"/>
      <c r="Z921" s="235"/>
      <c r="AA921" s="235"/>
    </row>
    <row r="922" spans="1:27" ht="10.5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61"/>
      <c r="L922" s="235"/>
      <c r="M922" s="235"/>
      <c r="N922" s="235"/>
      <c r="O922" s="235"/>
      <c r="P922" s="235"/>
      <c r="Q922" s="298"/>
      <c r="R922" s="234"/>
      <c r="S922" s="235"/>
      <c r="T922" s="235"/>
      <c r="U922" s="235"/>
      <c r="V922" s="235"/>
      <c r="W922" s="235"/>
      <c r="X922" s="235"/>
      <c r="Y922" s="235"/>
      <c r="Z922" s="235"/>
      <c r="AA922" s="235"/>
    </row>
    <row r="923" spans="1:27" ht="10.5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61"/>
      <c r="L923" s="235"/>
      <c r="M923" s="235"/>
      <c r="N923" s="235"/>
      <c r="O923" s="235"/>
      <c r="P923" s="235"/>
      <c r="Q923" s="298"/>
      <c r="R923" s="234"/>
      <c r="S923" s="235"/>
      <c r="T923" s="235"/>
      <c r="U923" s="235"/>
      <c r="V923" s="235"/>
      <c r="W923" s="235"/>
      <c r="X923" s="235"/>
      <c r="Y923" s="235"/>
      <c r="Z923" s="235"/>
      <c r="AA923" s="235"/>
    </row>
    <row r="924" spans="1:27" ht="10.5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61"/>
      <c r="L924" s="235"/>
      <c r="M924" s="235"/>
      <c r="N924" s="235"/>
      <c r="O924" s="235"/>
      <c r="P924" s="235"/>
      <c r="Q924" s="298"/>
      <c r="R924" s="234"/>
      <c r="S924" s="235"/>
      <c r="T924" s="235"/>
      <c r="U924" s="235"/>
      <c r="V924" s="235"/>
      <c r="W924" s="235"/>
      <c r="X924" s="235"/>
      <c r="Y924" s="235"/>
      <c r="Z924" s="235"/>
      <c r="AA924" s="235"/>
    </row>
    <row r="925" spans="1:27" ht="10.5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61"/>
      <c r="L925" s="235"/>
      <c r="M925" s="235"/>
      <c r="N925" s="235"/>
      <c r="O925" s="235"/>
      <c r="P925" s="235"/>
      <c r="Q925" s="298"/>
      <c r="R925" s="234"/>
      <c r="S925" s="235"/>
      <c r="T925" s="235"/>
      <c r="U925" s="235"/>
      <c r="V925" s="235"/>
      <c r="W925" s="235"/>
      <c r="X925" s="235"/>
      <c r="Y925" s="235"/>
      <c r="Z925" s="235"/>
      <c r="AA925" s="235"/>
    </row>
    <row r="926" spans="1:27" ht="10.5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61"/>
      <c r="L926" s="235"/>
      <c r="M926" s="235"/>
      <c r="N926" s="235"/>
      <c r="O926" s="235"/>
      <c r="P926" s="235"/>
      <c r="Q926" s="298"/>
      <c r="R926" s="234"/>
      <c r="S926" s="235"/>
      <c r="T926" s="235"/>
      <c r="U926" s="235"/>
      <c r="V926" s="235"/>
      <c r="W926" s="235"/>
      <c r="X926" s="235"/>
      <c r="Y926" s="235"/>
      <c r="Z926" s="235"/>
      <c r="AA926" s="235"/>
    </row>
    <row r="927" spans="1:27" ht="10.5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61"/>
      <c r="L927" s="235"/>
      <c r="M927" s="235"/>
      <c r="N927" s="235"/>
      <c r="O927" s="235"/>
      <c r="P927" s="235"/>
      <c r="Q927" s="298"/>
      <c r="R927" s="234"/>
      <c r="S927" s="235"/>
      <c r="T927" s="235"/>
      <c r="U927" s="235"/>
      <c r="V927" s="235"/>
      <c r="W927" s="235"/>
      <c r="X927" s="235"/>
      <c r="Y927" s="235"/>
      <c r="Z927" s="235"/>
      <c r="AA927" s="235"/>
    </row>
    <row r="928" spans="1:27" ht="10.5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61"/>
      <c r="L928" s="235"/>
      <c r="M928" s="235"/>
      <c r="N928" s="235"/>
      <c r="O928" s="235"/>
      <c r="P928" s="235"/>
      <c r="Q928" s="298"/>
      <c r="R928" s="234"/>
      <c r="S928" s="235"/>
      <c r="T928" s="235"/>
      <c r="U928" s="235"/>
      <c r="V928" s="235"/>
      <c r="W928" s="235"/>
      <c r="X928" s="235"/>
      <c r="Y928" s="235"/>
      <c r="Z928" s="235"/>
      <c r="AA928" s="235"/>
    </row>
    <row r="929" spans="1:27" ht="10.5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61"/>
      <c r="L929" s="235"/>
      <c r="M929" s="235"/>
      <c r="N929" s="235"/>
      <c r="O929" s="235"/>
      <c r="P929" s="235"/>
      <c r="Q929" s="298"/>
      <c r="R929" s="234"/>
      <c r="S929" s="235"/>
      <c r="T929" s="235"/>
      <c r="U929" s="235"/>
      <c r="V929" s="235"/>
      <c r="W929" s="235"/>
      <c r="X929" s="235"/>
      <c r="Y929" s="235"/>
      <c r="Z929" s="235"/>
      <c r="AA929" s="235"/>
    </row>
    <row r="930" spans="1:27" ht="10.5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61"/>
      <c r="L930" s="235"/>
      <c r="M930" s="235"/>
      <c r="N930" s="235"/>
      <c r="O930" s="235"/>
      <c r="P930" s="235"/>
      <c r="Q930" s="298"/>
      <c r="R930" s="234"/>
      <c r="S930" s="235"/>
      <c r="T930" s="235"/>
      <c r="U930" s="235"/>
      <c r="V930" s="235"/>
      <c r="W930" s="235"/>
      <c r="X930" s="235"/>
      <c r="Y930" s="235"/>
      <c r="Z930" s="235"/>
      <c r="AA930" s="235"/>
    </row>
    <row r="931" spans="1:27" ht="10.5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61"/>
      <c r="L931" s="235"/>
      <c r="M931" s="235"/>
      <c r="N931" s="235"/>
      <c r="O931" s="235"/>
      <c r="P931" s="235"/>
      <c r="Q931" s="298"/>
      <c r="R931" s="234"/>
      <c r="S931" s="235"/>
      <c r="T931" s="235"/>
      <c r="U931" s="235"/>
      <c r="V931" s="235"/>
      <c r="W931" s="235"/>
      <c r="X931" s="235"/>
      <c r="Y931" s="235"/>
      <c r="Z931" s="235"/>
      <c r="AA931" s="235"/>
    </row>
    <row r="932" spans="1:27" ht="10.5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61"/>
      <c r="L932" s="235"/>
      <c r="M932" s="235"/>
      <c r="N932" s="235"/>
      <c r="O932" s="235"/>
      <c r="P932" s="235"/>
      <c r="Q932" s="298"/>
      <c r="R932" s="234"/>
      <c r="S932" s="235"/>
      <c r="T932" s="235"/>
      <c r="U932" s="235"/>
      <c r="V932" s="235"/>
      <c r="W932" s="235"/>
      <c r="X932" s="235"/>
      <c r="Y932" s="235"/>
      <c r="Z932" s="235"/>
      <c r="AA932" s="235"/>
    </row>
    <row r="933" spans="1:27" ht="10.5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61"/>
      <c r="L933" s="235"/>
      <c r="M933" s="235"/>
      <c r="N933" s="235"/>
      <c r="O933" s="235"/>
      <c r="P933" s="235"/>
      <c r="Q933" s="298"/>
      <c r="R933" s="234"/>
      <c r="S933" s="235"/>
      <c r="T933" s="235"/>
      <c r="U933" s="235"/>
      <c r="V933" s="235"/>
      <c r="W933" s="235"/>
      <c r="X933" s="235"/>
      <c r="Y933" s="235"/>
      <c r="Z933" s="235"/>
      <c r="AA933" s="235"/>
    </row>
    <row r="934" spans="1:27" ht="10.5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61"/>
      <c r="L934" s="235"/>
      <c r="M934" s="235"/>
      <c r="N934" s="235"/>
      <c r="O934" s="235"/>
      <c r="P934" s="235"/>
      <c r="Q934" s="298"/>
      <c r="R934" s="234"/>
      <c r="S934" s="235"/>
      <c r="T934" s="235"/>
      <c r="U934" s="235"/>
      <c r="V934" s="235"/>
      <c r="W934" s="235"/>
      <c r="X934" s="235"/>
      <c r="Y934" s="235"/>
      <c r="Z934" s="235"/>
      <c r="AA934" s="235"/>
    </row>
    <row r="935" spans="1:27" ht="10.5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61"/>
      <c r="L935" s="235"/>
      <c r="M935" s="235"/>
      <c r="N935" s="235"/>
      <c r="O935" s="235"/>
      <c r="P935" s="235"/>
      <c r="Q935" s="298"/>
      <c r="R935" s="234"/>
      <c r="S935" s="235"/>
      <c r="T935" s="235"/>
      <c r="U935" s="235"/>
      <c r="V935" s="235"/>
      <c r="W935" s="235"/>
      <c r="X935" s="235"/>
      <c r="Y935" s="235"/>
      <c r="Z935" s="235"/>
      <c r="AA935" s="235"/>
    </row>
    <row r="936" spans="1:27" ht="10.5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61"/>
      <c r="L936" s="235"/>
      <c r="M936" s="235"/>
      <c r="N936" s="235"/>
      <c r="O936" s="235"/>
      <c r="P936" s="235"/>
      <c r="Q936" s="298"/>
      <c r="R936" s="234"/>
      <c r="S936" s="235"/>
      <c r="T936" s="235"/>
      <c r="U936" s="235"/>
      <c r="V936" s="235"/>
      <c r="W936" s="235"/>
      <c r="X936" s="235"/>
      <c r="Y936" s="235"/>
      <c r="Z936" s="235"/>
      <c r="AA936" s="235"/>
    </row>
    <row r="937" spans="1:27" ht="10.5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61"/>
      <c r="L937" s="235"/>
      <c r="M937" s="235"/>
      <c r="N937" s="235"/>
      <c r="O937" s="235"/>
      <c r="P937" s="235"/>
      <c r="Q937" s="298"/>
      <c r="R937" s="234"/>
      <c r="S937" s="235"/>
      <c r="T937" s="235"/>
      <c r="U937" s="235"/>
      <c r="V937" s="235"/>
      <c r="W937" s="235"/>
      <c r="X937" s="235"/>
      <c r="Y937" s="235"/>
      <c r="Z937" s="235"/>
      <c r="AA937" s="235"/>
    </row>
    <row r="938" spans="1:27" ht="10.5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61"/>
      <c r="L938" s="235"/>
      <c r="M938" s="235"/>
      <c r="N938" s="235"/>
      <c r="O938" s="235"/>
      <c r="P938" s="235"/>
      <c r="Q938" s="298"/>
      <c r="R938" s="234"/>
      <c r="S938" s="235"/>
      <c r="T938" s="235"/>
      <c r="U938" s="235"/>
      <c r="V938" s="235"/>
      <c r="W938" s="235"/>
      <c r="X938" s="235"/>
      <c r="Y938" s="235"/>
      <c r="Z938" s="235"/>
      <c r="AA938" s="235"/>
    </row>
    <row r="939" spans="1:27" ht="10.5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61"/>
      <c r="L939" s="235"/>
      <c r="M939" s="235"/>
      <c r="N939" s="235"/>
      <c r="O939" s="235"/>
      <c r="P939" s="235"/>
      <c r="Q939" s="298"/>
      <c r="R939" s="234"/>
      <c r="S939" s="235"/>
      <c r="T939" s="235"/>
      <c r="U939" s="235"/>
      <c r="V939" s="235"/>
      <c r="W939" s="235"/>
      <c r="X939" s="235"/>
      <c r="Y939" s="235"/>
      <c r="Z939" s="235"/>
      <c r="AA939" s="235"/>
    </row>
    <row r="940" spans="1:27" ht="10.5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61"/>
      <c r="L940" s="235"/>
      <c r="M940" s="235"/>
      <c r="N940" s="235"/>
      <c r="O940" s="235"/>
      <c r="P940" s="235"/>
      <c r="Q940" s="298"/>
      <c r="R940" s="234"/>
      <c r="S940" s="235"/>
      <c r="T940" s="235"/>
      <c r="U940" s="235"/>
      <c r="V940" s="235"/>
      <c r="W940" s="235"/>
      <c r="X940" s="235"/>
      <c r="Y940" s="235"/>
      <c r="Z940" s="235"/>
      <c r="AA940" s="235"/>
    </row>
    <row r="941" spans="1:27" ht="10.5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61"/>
      <c r="L941" s="235"/>
      <c r="M941" s="235"/>
      <c r="N941" s="235"/>
      <c r="O941" s="235"/>
      <c r="P941" s="235"/>
      <c r="Q941" s="298"/>
      <c r="R941" s="234"/>
      <c r="S941" s="235"/>
      <c r="T941" s="235"/>
      <c r="U941" s="235"/>
      <c r="V941" s="235"/>
      <c r="W941" s="235"/>
      <c r="X941" s="235"/>
      <c r="Y941" s="235"/>
      <c r="Z941" s="235"/>
      <c r="AA941" s="235"/>
    </row>
    <row r="942" spans="1:27" ht="10.5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61"/>
      <c r="L942" s="235"/>
      <c r="M942" s="235"/>
      <c r="N942" s="235"/>
      <c r="O942" s="235"/>
      <c r="P942" s="235"/>
      <c r="Q942" s="298"/>
      <c r="R942" s="234"/>
      <c r="S942" s="235"/>
      <c r="T942" s="235"/>
      <c r="U942" s="235"/>
      <c r="V942" s="235"/>
      <c r="W942" s="235"/>
      <c r="X942" s="235"/>
      <c r="Y942" s="235"/>
      <c r="Z942" s="235"/>
      <c r="AA942" s="235"/>
    </row>
    <row r="943" spans="1:27" ht="10.5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61"/>
      <c r="L943" s="235"/>
      <c r="M943" s="235"/>
      <c r="N943" s="235"/>
      <c r="O943" s="235"/>
      <c r="P943" s="235"/>
      <c r="Q943" s="298"/>
      <c r="R943" s="234"/>
      <c r="S943" s="235"/>
      <c r="T943" s="235"/>
      <c r="U943" s="235"/>
      <c r="V943" s="235"/>
      <c r="W943" s="235"/>
      <c r="X943" s="235"/>
      <c r="Y943" s="235"/>
      <c r="Z943" s="235"/>
      <c r="AA943" s="235"/>
    </row>
    <row r="944" spans="1:27" ht="10.5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61"/>
      <c r="L944" s="235"/>
      <c r="M944" s="235"/>
      <c r="N944" s="235"/>
      <c r="O944" s="235"/>
      <c r="P944" s="235"/>
      <c r="Q944" s="298"/>
      <c r="R944" s="234"/>
      <c r="S944" s="235"/>
      <c r="T944" s="235"/>
      <c r="U944" s="235"/>
      <c r="V944" s="235"/>
      <c r="W944" s="235"/>
      <c r="X944" s="235"/>
      <c r="Y944" s="235"/>
      <c r="Z944" s="235"/>
      <c r="AA944" s="235"/>
    </row>
    <row r="945" spans="1:27" ht="10.5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61"/>
      <c r="L945" s="235"/>
      <c r="M945" s="235"/>
      <c r="N945" s="235"/>
      <c r="O945" s="235"/>
      <c r="P945" s="235"/>
      <c r="Q945" s="298"/>
      <c r="R945" s="234"/>
      <c r="S945" s="235"/>
      <c r="T945" s="235"/>
      <c r="U945" s="235"/>
      <c r="V945" s="235"/>
      <c r="W945" s="235"/>
      <c r="X945" s="235"/>
      <c r="Y945" s="235"/>
      <c r="Z945" s="235"/>
      <c r="AA945" s="235"/>
    </row>
    <row r="946" spans="1:27" ht="10.5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61"/>
      <c r="L946" s="235"/>
      <c r="M946" s="235"/>
      <c r="N946" s="235"/>
      <c r="O946" s="235"/>
      <c r="P946" s="235"/>
      <c r="Q946" s="298"/>
      <c r="R946" s="234"/>
      <c r="S946" s="235"/>
      <c r="T946" s="235"/>
      <c r="U946" s="235"/>
      <c r="V946" s="235"/>
      <c r="W946" s="235"/>
      <c r="X946" s="235"/>
      <c r="Y946" s="235"/>
      <c r="Z946" s="235"/>
      <c r="AA946" s="235"/>
    </row>
    <row r="947" spans="1:27" ht="10.5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61"/>
      <c r="L947" s="235"/>
      <c r="M947" s="235"/>
      <c r="N947" s="235"/>
      <c r="O947" s="235"/>
      <c r="P947" s="235"/>
      <c r="Q947" s="298"/>
      <c r="R947" s="234"/>
      <c r="S947" s="235"/>
      <c r="T947" s="235"/>
      <c r="U947" s="235"/>
      <c r="V947" s="235"/>
      <c r="W947" s="235"/>
      <c r="X947" s="235"/>
      <c r="Y947" s="235"/>
      <c r="Z947" s="235"/>
      <c r="AA947" s="235"/>
    </row>
    <row r="948" spans="1:27" ht="10.5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61"/>
      <c r="L948" s="235"/>
      <c r="M948" s="235"/>
      <c r="N948" s="235"/>
      <c r="O948" s="235"/>
      <c r="P948" s="235"/>
      <c r="Q948" s="298"/>
      <c r="R948" s="234"/>
      <c r="S948" s="235"/>
      <c r="T948" s="235"/>
      <c r="U948" s="235"/>
      <c r="V948" s="235"/>
      <c r="W948" s="235"/>
      <c r="X948" s="235"/>
      <c r="Y948" s="235"/>
      <c r="Z948" s="235"/>
      <c r="AA948" s="235"/>
    </row>
    <row r="949" spans="1:27" ht="10.5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61"/>
      <c r="L949" s="235"/>
      <c r="M949" s="235"/>
      <c r="N949" s="235"/>
      <c r="O949" s="235"/>
      <c r="P949" s="235"/>
      <c r="Q949" s="298"/>
      <c r="R949" s="234"/>
      <c r="S949" s="235"/>
      <c r="T949" s="235"/>
      <c r="U949" s="235"/>
      <c r="V949" s="235"/>
      <c r="W949" s="235"/>
      <c r="X949" s="235"/>
      <c r="Y949" s="235"/>
      <c r="Z949" s="235"/>
      <c r="AA949" s="235"/>
    </row>
    <row r="950" spans="1:27" ht="10.5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61"/>
      <c r="L950" s="235"/>
      <c r="M950" s="235"/>
      <c r="N950" s="235"/>
      <c r="O950" s="235"/>
      <c r="P950" s="235"/>
      <c r="Q950" s="298"/>
      <c r="R950" s="234"/>
      <c r="S950" s="235"/>
      <c r="T950" s="235"/>
      <c r="U950" s="235"/>
      <c r="V950" s="235"/>
      <c r="W950" s="235"/>
      <c r="X950" s="235"/>
      <c r="Y950" s="235"/>
      <c r="Z950" s="235"/>
      <c r="AA950" s="235"/>
    </row>
    <row r="951" spans="1:27" ht="10.5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61"/>
      <c r="L951" s="235"/>
      <c r="M951" s="235"/>
      <c r="N951" s="235"/>
      <c r="O951" s="235"/>
      <c r="P951" s="235"/>
      <c r="Q951" s="298"/>
      <c r="R951" s="234"/>
      <c r="S951" s="235"/>
      <c r="T951" s="235"/>
      <c r="U951" s="235"/>
      <c r="V951" s="235"/>
      <c r="W951" s="235"/>
      <c r="X951" s="235"/>
      <c r="Y951" s="235"/>
      <c r="Z951" s="235"/>
      <c r="AA951" s="235"/>
    </row>
    <row r="952" spans="1:27" ht="10.5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61"/>
      <c r="L952" s="235"/>
      <c r="M952" s="235"/>
      <c r="N952" s="235"/>
      <c r="O952" s="235"/>
      <c r="P952" s="235"/>
      <c r="Q952" s="298"/>
      <c r="R952" s="234"/>
      <c r="S952" s="235"/>
      <c r="T952" s="235"/>
      <c r="U952" s="235"/>
      <c r="V952" s="235"/>
      <c r="W952" s="235"/>
      <c r="X952" s="235"/>
      <c r="Y952" s="235"/>
      <c r="Z952" s="235"/>
      <c r="AA952" s="235"/>
    </row>
    <row r="953" spans="1:27" ht="10.5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61"/>
      <c r="L953" s="235"/>
      <c r="M953" s="235"/>
      <c r="N953" s="235"/>
      <c r="O953" s="235"/>
      <c r="P953" s="235"/>
      <c r="Q953" s="298"/>
      <c r="R953" s="234"/>
      <c r="S953" s="235"/>
      <c r="T953" s="235"/>
      <c r="U953" s="235"/>
      <c r="V953" s="235"/>
      <c r="W953" s="235"/>
      <c r="X953" s="235"/>
      <c r="Y953" s="235"/>
      <c r="Z953" s="235"/>
      <c r="AA953" s="235"/>
    </row>
    <row r="954" spans="1:27" ht="10.5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61"/>
      <c r="L954" s="235"/>
      <c r="M954" s="235"/>
      <c r="N954" s="235"/>
      <c r="O954" s="235"/>
      <c r="P954" s="235"/>
      <c r="Q954" s="298"/>
      <c r="R954" s="234"/>
      <c r="S954" s="235"/>
      <c r="T954" s="235"/>
      <c r="U954" s="235"/>
      <c r="V954" s="235"/>
      <c r="W954" s="235"/>
      <c r="X954" s="235"/>
      <c r="Y954" s="235"/>
      <c r="Z954" s="235"/>
      <c r="AA954" s="235"/>
    </row>
    <row r="955" spans="1:27" ht="10.5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61"/>
      <c r="L955" s="235"/>
      <c r="M955" s="235"/>
      <c r="N955" s="235"/>
      <c r="O955" s="235"/>
      <c r="P955" s="235"/>
      <c r="Q955" s="298"/>
      <c r="R955" s="234"/>
      <c r="S955" s="235"/>
      <c r="T955" s="235"/>
      <c r="U955" s="235"/>
      <c r="V955" s="235"/>
      <c r="W955" s="235"/>
      <c r="X955" s="235"/>
      <c r="Y955" s="235"/>
      <c r="Z955" s="235"/>
      <c r="AA955" s="235"/>
    </row>
    <row r="956" spans="1:27" ht="10.5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61"/>
      <c r="L956" s="235"/>
      <c r="M956" s="235"/>
      <c r="N956" s="235"/>
      <c r="O956" s="235"/>
      <c r="P956" s="235"/>
      <c r="Q956" s="298"/>
      <c r="R956" s="234"/>
      <c r="S956" s="235"/>
      <c r="T956" s="235"/>
      <c r="U956" s="235"/>
      <c r="V956" s="235"/>
      <c r="W956" s="235"/>
      <c r="X956" s="235"/>
      <c r="Y956" s="235"/>
      <c r="Z956" s="235"/>
      <c r="AA956" s="235"/>
    </row>
    <row r="957" spans="1:27" ht="10.5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61"/>
      <c r="L957" s="235"/>
      <c r="M957" s="235"/>
      <c r="N957" s="235"/>
      <c r="O957" s="235"/>
      <c r="P957" s="235"/>
      <c r="Q957" s="298"/>
      <c r="R957" s="234"/>
      <c r="S957" s="235"/>
      <c r="T957" s="235"/>
      <c r="U957" s="235"/>
      <c r="V957" s="235"/>
      <c r="W957" s="235"/>
      <c r="X957" s="235"/>
      <c r="Y957" s="235"/>
      <c r="Z957" s="235"/>
      <c r="AA957" s="235"/>
    </row>
    <row r="958" spans="1:27" ht="10.5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61"/>
      <c r="L958" s="235"/>
      <c r="M958" s="235"/>
      <c r="N958" s="235"/>
      <c r="O958" s="235"/>
      <c r="P958" s="235"/>
      <c r="Q958" s="298"/>
      <c r="R958" s="234"/>
      <c r="S958" s="235"/>
      <c r="T958" s="235"/>
      <c r="U958" s="235"/>
      <c r="V958" s="235"/>
      <c r="W958" s="235"/>
      <c r="X958" s="235"/>
      <c r="Y958" s="235"/>
      <c r="Z958" s="235"/>
      <c r="AA958" s="235"/>
    </row>
    <row r="959" spans="1:27" ht="10.5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61"/>
      <c r="L959" s="235"/>
      <c r="M959" s="235"/>
      <c r="N959" s="235"/>
      <c r="O959" s="235"/>
      <c r="P959" s="235"/>
      <c r="Q959" s="298"/>
      <c r="R959" s="234"/>
      <c r="S959" s="235"/>
      <c r="T959" s="235"/>
      <c r="U959" s="235"/>
      <c r="V959" s="235"/>
      <c r="W959" s="235"/>
      <c r="X959" s="235"/>
      <c r="Y959" s="235"/>
      <c r="Z959" s="235"/>
      <c r="AA959" s="235"/>
    </row>
    <row r="960" spans="1:27" ht="10.5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61"/>
      <c r="L960" s="235"/>
      <c r="M960" s="235"/>
      <c r="N960" s="235"/>
      <c r="O960" s="235"/>
      <c r="P960" s="235"/>
      <c r="Q960" s="298"/>
      <c r="R960" s="234"/>
      <c r="S960" s="235"/>
      <c r="T960" s="235"/>
      <c r="U960" s="235"/>
      <c r="V960" s="235"/>
      <c r="W960" s="235"/>
      <c r="X960" s="235"/>
      <c r="Y960" s="235"/>
      <c r="Z960" s="235"/>
      <c r="AA960" s="235"/>
    </row>
    <row r="961" spans="1:27" ht="10.5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61"/>
      <c r="L961" s="235"/>
      <c r="M961" s="235"/>
      <c r="N961" s="235"/>
      <c r="O961" s="235"/>
      <c r="P961" s="235"/>
      <c r="Q961" s="298"/>
      <c r="R961" s="234"/>
      <c r="S961" s="235"/>
      <c r="T961" s="235"/>
      <c r="U961" s="235"/>
      <c r="V961" s="235"/>
      <c r="W961" s="235"/>
      <c r="X961" s="235"/>
      <c r="Y961" s="235"/>
      <c r="Z961" s="235"/>
      <c r="AA961" s="235"/>
    </row>
    <row r="962" spans="1:27" ht="10.5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61"/>
      <c r="L962" s="235"/>
      <c r="M962" s="235"/>
      <c r="N962" s="235"/>
      <c r="O962" s="235"/>
      <c r="P962" s="235"/>
      <c r="Q962" s="298"/>
      <c r="R962" s="234"/>
      <c r="S962" s="235"/>
      <c r="T962" s="235"/>
      <c r="U962" s="235"/>
      <c r="V962" s="235"/>
      <c r="W962" s="235"/>
      <c r="X962" s="235"/>
      <c r="Y962" s="235"/>
      <c r="Z962" s="235"/>
      <c r="AA962" s="235"/>
    </row>
    <row r="963" spans="1:27" ht="10.5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61"/>
      <c r="L963" s="235"/>
      <c r="M963" s="235"/>
      <c r="N963" s="235"/>
      <c r="O963" s="235"/>
      <c r="P963" s="235"/>
      <c r="Q963" s="298"/>
      <c r="R963" s="234"/>
      <c r="S963" s="235"/>
      <c r="T963" s="235"/>
      <c r="U963" s="235"/>
      <c r="V963" s="235"/>
      <c r="W963" s="235"/>
      <c r="X963" s="235"/>
      <c r="Y963" s="235"/>
      <c r="Z963" s="235"/>
      <c r="AA963" s="235"/>
    </row>
    <row r="964" spans="1:27" ht="10.5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61"/>
      <c r="L964" s="235"/>
      <c r="M964" s="235"/>
      <c r="N964" s="235"/>
      <c r="O964" s="235"/>
      <c r="P964" s="235"/>
      <c r="Q964" s="298"/>
      <c r="R964" s="234"/>
      <c r="S964" s="235"/>
      <c r="T964" s="235"/>
      <c r="U964" s="235"/>
      <c r="V964" s="235"/>
      <c r="W964" s="235"/>
      <c r="X964" s="235"/>
      <c r="Y964" s="235"/>
      <c r="Z964" s="235"/>
      <c r="AA964" s="235"/>
    </row>
    <row r="965" spans="1:27" ht="10.5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61"/>
      <c r="L965" s="235"/>
      <c r="M965" s="235"/>
      <c r="N965" s="235"/>
      <c r="O965" s="235"/>
      <c r="P965" s="235"/>
      <c r="Q965" s="298"/>
      <c r="R965" s="234"/>
      <c r="S965" s="235"/>
      <c r="T965" s="235"/>
      <c r="U965" s="235"/>
      <c r="V965" s="235"/>
      <c r="W965" s="235"/>
      <c r="X965" s="235"/>
      <c r="Y965" s="235"/>
      <c r="Z965" s="235"/>
      <c r="AA965" s="235"/>
    </row>
    <row r="966" spans="1:27" ht="10.5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61"/>
      <c r="L966" s="235"/>
      <c r="M966" s="235"/>
      <c r="N966" s="235"/>
      <c r="O966" s="235"/>
      <c r="P966" s="235"/>
      <c r="Q966" s="298"/>
      <c r="R966" s="234"/>
      <c r="S966" s="235"/>
      <c r="T966" s="235"/>
      <c r="U966" s="235"/>
      <c r="V966" s="235"/>
      <c r="W966" s="235"/>
      <c r="X966" s="235"/>
      <c r="Y966" s="235"/>
      <c r="Z966" s="235"/>
      <c r="AA966" s="235"/>
    </row>
    <row r="967" spans="1:27" ht="10.5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61"/>
      <c r="L967" s="235"/>
      <c r="M967" s="235"/>
      <c r="N967" s="235"/>
      <c r="O967" s="235"/>
      <c r="P967" s="235"/>
      <c r="Q967" s="298"/>
      <c r="R967" s="234"/>
      <c r="S967" s="235"/>
      <c r="T967" s="235"/>
      <c r="U967" s="235"/>
      <c r="V967" s="235"/>
      <c r="W967" s="235"/>
      <c r="X967" s="235"/>
      <c r="Y967" s="235"/>
      <c r="Z967" s="235"/>
      <c r="AA967" s="235"/>
    </row>
    <row r="968" spans="1:27" ht="10.5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61"/>
      <c r="L968" s="235"/>
      <c r="M968" s="235"/>
      <c r="N968" s="235"/>
      <c r="O968" s="235"/>
      <c r="P968" s="235"/>
      <c r="Q968" s="298"/>
      <c r="R968" s="234"/>
      <c r="S968" s="235"/>
      <c r="T968" s="235"/>
      <c r="U968" s="235"/>
      <c r="V968" s="235"/>
      <c r="W968" s="235"/>
      <c r="X968" s="235"/>
      <c r="Y968" s="235"/>
      <c r="Z968" s="235"/>
      <c r="AA968" s="235"/>
    </row>
    <row r="969" spans="1:27" ht="10.5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61"/>
      <c r="L969" s="235"/>
      <c r="M969" s="235"/>
      <c r="N969" s="235"/>
      <c r="O969" s="235"/>
      <c r="P969" s="235"/>
      <c r="Q969" s="298"/>
      <c r="R969" s="234"/>
      <c r="S969" s="235"/>
      <c r="T969" s="235"/>
      <c r="U969" s="235"/>
      <c r="V969" s="235"/>
      <c r="W969" s="235"/>
      <c r="X969" s="235"/>
      <c r="Y969" s="235"/>
      <c r="Z969" s="235"/>
      <c r="AA969" s="235"/>
    </row>
    <row r="970" spans="1:27" ht="10.5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61"/>
      <c r="L970" s="235"/>
      <c r="M970" s="235"/>
      <c r="N970" s="235"/>
      <c r="O970" s="235"/>
      <c r="P970" s="235"/>
      <c r="Q970" s="298"/>
      <c r="R970" s="234"/>
      <c r="S970" s="235"/>
      <c r="T970" s="235"/>
      <c r="U970" s="235"/>
      <c r="V970" s="235"/>
      <c r="W970" s="235"/>
      <c r="X970" s="235"/>
      <c r="Y970" s="235"/>
      <c r="Z970" s="235"/>
      <c r="AA970" s="235"/>
    </row>
    <row r="971" spans="1:27" ht="10.5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61"/>
      <c r="L971" s="235"/>
      <c r="M971" s="235"/>
      <c r="N971" s="235"/>
      <c r="O971" s="235"/>
      <c r="P971" s="235"/>
      <c r="Q971" s="298"/>
      <c r="R971" s="234"/>
      <c r="S971" s="235"/>
      <c r="T971" s="235"/>
      <c r="U971" s="235"/>
      <c r="V971" s="235"/>
      <c r="W971" s="235"/>
      <c r="X971" s="235"/>
      <c r="Y971" s="235"/>
      <c r="Z971" s="235"/>
      <c r="AA971" s="235"/>
    </row>
    <row r="972" spans="1:27" ht="10.5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61"/>
      <c r="L972" s="235"/>
      <c r="M972" s="235"/>
      <c r="N972" s="235"/>
      <c r="O972" s="235"/>
      <c r="P972" s="235"/>
      <c r="Q972" s="298"/>
      <c r="R972" s="234"/>
      <c r="S972" s="235"/>
      <c r="T972" s="235"/>
      <c r="U972" s="235"/>
      <c r="V972" s="235"/>
      <c r="W972" s="235"/>
      <c r="X972" s="235"/>
      <c r="Y972" s="235"/>
      <c r="Z972" s="235"/>
      <c r="AA972" s="235"/>
    </row>
    <row r="973" spans="1:27" ht="10.5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61"/>
      <c r="L973" s="235"/>
      <c r="M973" s="235"/>
      <c r="N973" s="235"/>
      <c r="O973" s="235"/>
      <c r="P973" s="235"/>
      <c r="Q973" s="298"/>
      <c r="R973" s="234"/>
      <c r="S973" s="235"/>
      <c r="T973" s="235"/>
      <c r="U973" s="235"/>
      <c r="V973" s="235"/>
      <c r="W973" s="235"/>
      <c r="X973" s="235"/>
      <c r="Y973" s="235"/>
      <c r="Z973" s="235"/>
      <c r="AA973" s="235"/>
    </row>
    <row r="974" spans="1:27" ht="10.5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61"/>
      <c r="L974" s="235"/>
      <c r="M974" s="235"/>
      <c r="N974" s="235"/>
      <c r="O974" s="235"/>
      <c r="P974" s="235"/>
      <c r="Q974" s="298"/>
      <c r="R974" s="234"/>
      <c r="S974" s="235"/>
      <c r="T974" s="235"/>
      <c r="U974" s="235"/>
      <c r="V974" s="235"/>
      <c r="W974" s="235"/>
      <c r="X974" s="235"/>
      <c r="Y974" s="235"/>
      <c r="Z974" s="235"/>
      <c r="AA974" s="235"/>
    </row>
    <row r="975" spans="1:27" ht="10.5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61"/>
      <c r="L975" s="235"/>
      <c r="M975" s="235"/>
      <c r="N975" s="235"/>
      <c r="O975" s="235"/>
      <c r="P975" s="235"/>
      <c r="Q975" s="298"/>
      <c r="R975" s="234"/>
      <c r="S975" s="235"/>
      <c r="T975" s="235"/>
      <c r="U975" s="235"/>
      <c r="V975" s="235"/>
      <c r="W975" s="235"/>
      <c r="X975" s="235"/>
      <c r="Y975" s="235"/>
      <c r="Z975" s="235"/>
      <c r="AA975" s="235"/>
    </row>
    <row r="976" spans="1:27" ht="10.5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61"/>
      <c r="L976" s="235"/>
      <c r="M976" s="235"/>
      <c r="N976" s="235"/>
      <c r="O976" s="235"/>
      <c r="P976" s="235"/>
      <c r="Q976" s="298"/>
      <c r="R976" s="234"/>
      <c r="S976" s="235"/>
      <c r="T976" s="235"/>
      <c r="U976" s="235"/>
      <c r="V976" s="235"/>
      <c r="W976" s="235"/>
      <c r="X976" s="235"/>
      <c r="Y976" s="235"/>
      <c r="Z976" s="235"/>
      <c r="AA976" s="235"/>
    </row>
    <row r="977" spans="1:27" ht="10.5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61"/>
      <c r="L977" s="235"/>
      <c r="M977" s="235"/>
      <c r="N977" s="235"/>
      <c r="O977" s="235"/>
      <c r="P977" s="235"/>
      <c r="Q977" s="298"/>
      <c r="R977" s="234"/>
      <c r="S977" s="235"/>
      <c r="T977" s="235"/>
      <c r="U977" s="235"/>
      <c r="V977" s="235"/>
      <c r="W977" s="235"/>
      <c r="X977" s="235"/>
      <c r="Y977" s="235"/>
      <c r="Z977" s="235"/>
      <c r="AA977" s="235"/>
    </row>
    <row r="978" spans="1:27" ht="10.5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61"/>
      <c r="L978" s="235"/>
      <c r="M978" s="235"/>
      <c r="N978" s="235"/>
      <c r="O978" s="235"/>
      <c r="P978" s="235"/>
      <c r="Q978" s="298"/>
      <c r="R978" s="234"/>
      <c r="S978" s="235"/>
      <c r="T978" s="235"/>
      <c r="U978" s="235"/>
      <c r="V978" s="235"/>
      <c r="W978" s="235"/>
      <c r="X978" s="235"/>
      <c r="Y978" s="235"/>
      <c r="Z978" s="235"/>
      <c r="AA978" s="235"/>
    </row>
    <row r="979" spans="1:27" ht="10.5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61"/>
      <c r="L979" s="235"/>
      <c r="M979" s="235"/>
      <c r="N979" s="235"/>
      <c r="O979" s="235"/>
      <c r="P979" s="235"/>
      <c r="Q979" s="298"/>
      <c r="R979" s="234"/>
      <c r="S979" s="235"/>
      <c r="T979" s="235"/>
      <c r="U979" s="235"/>
      <c r="V979" s="235"/>
      <c r="W979" s="235"/>
      <c r="X979" s="235"/>
      <c r="Y979" s="235"/>
      <c r="Z979" s="235"/>
      <c r="AA979" s="235"/>
    </row>
    <row r="980" spans="1:27" ht="10.5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61"/>
      <c r="L980" s="235"/>
      <c r="M980" s="235"/>
      <c r="N980" s="235"/>
      <c r="O980" s="235"/>
      <c r="P980" s="235"/>
      <c r="Q980" s="298"/>
      <c r="R980" s="234"/>
      <c r="S980" s="235"/>
      <c r="T980" s="235"/>
      <c r="U980" s="235"/>
      <c r="V980" s="235"/>
      <c r="W980" s="235"/>
      <c r="X980" s="235"/>
      <c r="Y980" s="235"/>
      <c r="Z980" s="235"/>
      <c r="AA980" s="235"/>
    </row>
    <row r="981" spans="1:27" ht="10.5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61"/>
      <c r="L981" s="235"/>
      <c r="M981" s="235"/>
      <c r="N981" s="235"/>
      <c r="O981" s="235"/>
      <c r="P981" s="235"/>
      <c r="Q981" s="298"/>
      <c r="R981" s="234"/>
      <c r="S981" s="235"/>
      <c r="T981" s="235"/>
      <c r="U981" s="235"/>
      <c r="V981" s="235"/>
      <c r="W981" s="235"/>
      <c r="X981" s="235"/>
      <c r="Y981" s="235"/>
      <c r="Z981" s="235"/>
      <c r="AA981" s="235"/>
    </row>
    <row r="982" spans="1:27" ht="10.5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61"/>
      <c r="L982" s="235"/>
      <c r="M982" s="235"/>
      <c r="N982" s="235"/>
      <c r="O982" s="235"/>
      <c r="P982" s="235"/>
      <c r="Q982" s="298"/>
      <c r="R982" s="234"/>
      <c r="S982" s="235"/>
      <c r="T982" s="235"/>
      <c r="U982" s="235"/>
      <c r="V982" s="235"/>
      <c r="W982" s="235"/>
      <c r="X982" s="235"/>
      <c r="Y982" s="235"/>
      <c r="Z982" s="235"/>
      <c r="AA982" s="235"/>
    </row>
    <row r="983" spans="1:27" ht="10.5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61"/>
      <c r="L983" s="235"/>
      <c r="M983" s="235"/>
      <c r="N983" s="235"/>
      <c r="O983" s="235"/>
      <c r="P983" s="235"/>
      <c r="Q983" s="298"/>
      <c r="R983" s="234"/>
      <c r="S983" s="235"/>
      <c r="T983" s="235"/>
      <c r="U983" s="235"/>
      <c r="V983" s="235"/>
      <c r="W983" s="235"/>
      <c r="X983" s="235"/>
      <c r="Y983" s="235"/>
      <c r="Z983" s="235"/>
      <c r="AA983" s="235"/>
    </row>
    <row r="984" spans="1:27" ht="10.5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61"/>
      <c r="L984" s="235"/>
      <c r="M984" s="235"/>
      <c r="N984" s="235"/>
      <c r="O984" s="235"/>
      <c r="P984" s="235"/>
      <c r="Q984" s="298"/>
      <c r="R984" s="234"/>
      <c r="S984" s="235"/>
      <c r="T984" s="235"/>
      <c r="U984" s="235"/>
      <c r="V984" s="235"/>
      <c r="W984" s="235"/>
      <c r="X984" s="235"/>
      <c r="Y984" s="235"/>
      <c r="Z984" s="235"/>
      <c r="AA984" s="235"/>
    </row>
    <row r="985" spans="1:27" ht="10.5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61"/>
      <c r="L985" s="235"/>
      <c r="M985" s="235"/>
      <c r="N985" s="235"/>
      <c r="O985" s="235"/>
      <c r="P985" s="235"/>
      <c r="Q985" s="298"/>
      <c r="R985" s="234"/>
      <c r="S985" s="235"/>
      <c r="T985" s="235"/>
      <c r="U985" s="235"/>
      <c r="V985" s="235"/>
      <c r="W985" s="235"/>
      <c r="X985" s="235"/>
      <c r="Y985" s="235"/>
      <c r="Z985" s="235"/>
      <c r="AA985" s="235"/>
    </row>
    <row r="986" spans="1:27" ht="10.5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61"/>
      <c r="L986" s="235"/>
      <c r="M986" s="235"/>
      <c r="N986" s="235"/>
      <c r="O986" s="235"/>
      <c r="P986" s="235"/>
      <c r="Q986" s="298"/>
      <c r="R986" s="234"/>
      <c r="S986" s="235"/>
      <c r="T986" s="235"/>
      <c r="U986" s="235"/>
      <c r="V986" s="235"/>
      <c r="W986" s="235"/>
      <c r="X986" s="235"/>
      <c r="Y986" s="235"/>
      <c r="Z986" s="235"/>
      <c r="AA986" s="235"/>
    </row>
    <row r="987" spans="1:27" ht="10.5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61"/>
      <c r="L987" s="235"/>
      <c r="M987" s="235"/>
      <c r="N987" s="235"/>
      <c r="O987" s="235"/>
      <c r="P987" s="235"/>
      <c r="Q987" s="298"/>
      <c r="R987" s="234"/>
      <c r="S987" s="235"/>
      <c r="T987" s="235"/>
      <c r="U987" s="235"/>
      <c r="V987" s="235"/>
      <c r="W987" s="235"/>
      <c r="X987" s="235"/>
      <c r="Y987" s="235"/>
      <c r="Z987" s="235"/>
      <c r="AA987" s="235"/>
    </row>
    <row r="988" spans="1:27" ht="10.5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61"/>
      <c r="L988" s="235"/>
      <c r="M988" s="235"/>
      <c r="N988" s="235"/>
      <c r="O988" s="235"/>
      <c r="P988" s="235"/>
      <c r="Q988" s="298"/>
      <c r="R988" s="234"/>
      <c r="S988" s="235"/>
      <c r="T988" s="235"/>
      <c r="U988" s="235"/>
      <c r="V988" s="235"/>
      <c r="W988" s="235"/>
      <c r="X988" s="235"/>
      <c r="Y988" s="235"/>
      <c r="Z988" s="235"/>
      <c r="AA988" s="235"/>
    </row>
    <row r="989" spans="1:27" ht="10.5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61"/>
      <c r="L989" s="235"/>
      <c r="M989" s="235"/>
      <c r="N989" s="235"/>
      <c r="O989" s="235"/>
      <c r="P989" s="235"/>
      <c r="Q989" s="298"/>
      <c r="R989" s="234"/>
      <c r="S989" s="235"/>
      <c r="T989" s="235"/>
      <c r="U989" s="235"/>
      <c r="V989" s="235"/>
      <c r="W989" s="235"/>
      <c r="X989" s="235"/>
      <c r="Y989" s="235"/>
      <c r="Z989" s="235"/>
      <c r="AA989" s="235"/>
    </row>
    <row r="990" spans="1:27" ht="10.5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61"/>
      <c r="L990" s="235"/>
      <c r="M990" s="235"/>
      <c r="N990" s="235"/>
      <c r="O990" s="235"/>
      <c r="P990" s="235"/>
      <c r="Q990" s="298"/>
      <c r="R990" s="234"/>
      <c r="S990" s="235"/>
      <c r="T990" s="235"/>
      <c r="U990" s="235"/>
      <c r="V990" s="235"/>
      <c r="W990" s="235"/>
      <c r="X990" s="235"/>
      <c r="Y990" s="235"/>
      <c r="Z990" s="235"/>
      <c r="AA990" s="235"/>
    </row>
    <row r="991" spans="1:27" ht="10.5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61"/>
      <c r="L991" s="235"/>
      <c r="M991" s="235"/>
      <c r="N991" s="235"/>
      <c r="O991" s="235"/>
      <c r="P991" s="235"/>
      <c r="Q991" s="298"/>
      <c r="R991" s="234"/>
      <c r="S991" s="235"/>
      <c r="T991" s="235"/>
      <c r="U991" s="235"/>
      <c r="V991" s="235"/>
      <c r="W991" s="235"/>
      <c r="X991" s="235"/>
      <c r="Y991" s="235"/>
      <c r="Z991" s="235"/>
      <c r="AA991" s="235"/>
    </row>
    <row r="992" spans="1:27" ht="10.5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61"/>
      <c r="L992" s="235"/>
      <c r="M992" s="235"/>
      <c r="N992" s="235"/>
      <c r="O992" s="235"/>
      <c r="P992" s="235"/>
      <c r="Q992" s="298"/>
      <c r="R992" s="234"/>
      <c r="S992" s="235"/>
      <c r="T992" s="235"/>
      <c r="U992" s="235"/>
      <c r="V992" s="235"/>
      <c r="W992" s="235"/>
      <c r="X992" s="235"/>
      <c r="Y992" s="235"/>
      <c r="Z992" s="235"/>
      <c r="AA992" s="235"/>
    </row>
    <row r="993" spans="1:27" ht="10.5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61"/>
      <c r="L993" s="235"/>
      <c r="M993" s="235"/>
      <c r="N993" s="235"/>
      <c r="O993" s="235"/>
      <c r="P993" s="235"/>
      <c r="Q993" s="298"/>
      <c r="R993" s="234"/>
      <c r="S993" s="235"/>
      <c r="T993" s="235"/>
      <c r="U993" s="235"/>
      <c r="V993" s="235"/>
      <c r="W993" s="235"/>
      <c r="X993" s="235"/>
      <c r="Y993" s="235"/>
      <c r="Z993" s="235"/>
      <c r="AA993" s="235"/>
    </row>
    <row r="994" spans="1:27" ht="10.5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61"/>
      <c r="L994" s="235"/>
      <c r="M994" s="235"/>
      <c r="N994" s="235"/>
      <c r="O994" s="235"/>
      <c r="P994" s="235"/>
      <c r="Q994" s="298"/>
      <c r="R994" s="234"/>
      <c r="S994" s="235"/>
      <c r="T994" s="235"/>
      <c r="U994" s="235"/>
      <c r="V994" s="235"/>
      <c r="W994" s="235"/>
      <c r="X994" s="235"/>
      <c r="Y994" s="235"/>
      <c r="Z994" s="235"/>
      <c r="AA994" s="235"/>
    </row>
    <row r="995" spans="1:27" ht="10.5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61"/>
      <c r="L995" s="235"/>
      <c r="M995" s="235"/>
      <c r="N995" s="235"/>
      <c r="O995" s="235"/>
      <c r="P995" s="235"/>
      <c r="Q995" s="298"/>
      <c r="R995" s="234"/>
      <c r="S995" s="235"/>
      <c r="T995" s="235"/>
      <c r="U995" s="235"/>
      <c r="V995" s="235"/>
      <c r="W995" s="235"/>
      <c r="X995" s="235"/>
      <c r="Y995" s="235"/>
      <c r="Z995" s="235"/>
      <c r="AA995" s="235"/>
    </row>
    <row r="996" spans="1:27" ht="10.5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61"/>
      <c r="L996" s="235"/>
      <c r="M996" s="235"/>
      <c r="N996" s="235"/>
      <c r="O996" s="235"/>
      <c r="P996" s="235"/>
      <c r="Q996" s="298"/>
      <c r="R996" s="234"/>
      <c r="S996" s="235"/>
      <c r="T996" s="235"/>
      <c r="U996" s="235"/>
      <c r="V996" s="235"/>
      <c r="W996" s="235"/>
      <c r="X996" s="235"/>
      <c r="Y996" s="235"/>
      <c r="Z996" s="235"/>
      <c r="AA996" s="235"/>
    </row>
    <row r="997" spans="1:27" ht="10.5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61"/>
      <c r="L997" s="235"/>
      <c r="M997" s="235"/>
      <c r="N997" s="235"/>
      <c r="O997" s="235"/>
      <c r="P997" s="235"/>
      <c r="Q997" s="298"/>
      <c r="R997" s="234"/>
      <c r="S997" s="235"/>
      <c r="T997" s="235"/>
      <c r="U997" s="235"/>
      <c r="V997" s="235"/>
      <c r="W997" s="235"/>
      <c r="X997" s="235"/>
      <c r="Y997" s="235"/>
      <c r="Z997" s="235"/>
      <c r="AA997" s="235"/>
    </row>
    <row r="998" spans="1:27" ht="10.5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61"/>
      <c r="L998" s="235"/>
      <c r="M998" s="235"/>
      <c r="N998" s="235"/>
      <c r="O998" s="235"/>
      <c r="P998" s="235"/>
      <c r="Q998" s="298"/>
      <c r="R998" s="234"/>
      <c r="S998" s="235"/>
      <c r="T998" s="235"/>
      <c r="U998" s="235"/>
      <c r="V998" s="235"/>
      <c r="W998" s="235"/>
      <c r="X998" s="235"/>
      <c r="Y998" s="235"/>
      <c r="Z998" s="235"/>
      <c r="AA998" s="235"/>
    </row>
    <row r="999" spans="1:27" ht="10.5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61"/>
      <c r="L999" s="235"/>
      <c r="M999" s="235"/>
      <c r="N999" s="235"/>
      <c r="O999" s="235"/>
      <c r="P999" s="235"/>
      <c r="Q999" s="298"/>
      <c r="R999" s="234"/>
      <c r="S999" s="235"/>
      <c r="T999" s="235"/>
      <c r="U999" s="235"/>
      <c r="V999" s="235"/>
      <c r="W999" s="235"/>
      <c r="X999" s="235"/>
      <c r="Y999" s="235"/>
      <c r="Z999" s="235"/>
      <c r="AA999" s="235"/>
    </row>
    <row r="1000" spans="1:27" ht="10.5" customHeight="1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61"/>
      <c r="L1000" s="235"/>
      <c r="M1000" s="235"/>
      <c r="N1000" s="235"/>
      <c r="O1000" s="235"/>
      <c r="P1000" s="235"/>
      <c r="Q1000" s="298"/>
      <c r="R1000" s="234"/>
      <c r="S1000" s="235"/>
      <c r="T1000" s="235"/>
      <c r="U1000" s="235"/>
      <c r="V1000" s="235"/>
      <c r="W1000" s="235"/>
      <c r="X1000" s="235"/>
      <c r="Y1000" s="235"/>
      <c r="Z1000" s="235"/>
      <c r="AA1000" s="235"/>
    </row>
    <row r="1001" spans="1:27" ht="10.5" customHeight="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61"/>
      <c r="L1001" s="235"/>
      <c r="M1001" s="235"/>
      <c r="N1001" s="235"/>
      <c r="O1001" s="235"/>
      <c r="P1001" s="235"/>
      <c r="Q1001" s="298"/>
      <c r="R1001" s="234"/>
      <c r="S1001" s="235"/>
      <c r="T1001" s="235"/>
      <c r="U1001" s="235"/>
      <c r="V1001" s="235"/>
      <c r="W1001" s="235"/>
      <c r="X1001" s="235"/>
      <c r="Y1001" s="235"/>
      <c r="Z1001" s="235"/>
      <c r="AA1001" s="235"/>
    </row>
    <row r="1002" spans="1:27" ht="10.5" customHeight="1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61"/>
      <c r="L1002" s="235"/>
      <c r="M1002" s="235"/>
      <c r="N1002" s="235"/>
      <c r="O1002" s="235"/>
      <c r="P1002" s="235"/>
      <c r="Q1002" s="298"/>
      <c r="R1002" s="234"/>
      <c r="S1002" s="235"/>
      <c r="T1002" s="235"/>
      <c r="U1002" s="235"/>
      <c r="V1002" s="235"/>
      <c r="W1002" s="235"/>
      <c r="X1002" s="235"/>
      <c r="Y1002" s="235"/>
      <c r="Z1002" s="235"/>
      <c r="AA1002" s="235"/>
    </row>
    <row r="1003" spans="1:27" ht="10.5" customHeight="1">
      <c r="A1003" s="235"/>
      <c r="B1003" s="235"/>
      <c r="C1003" s="235"/>
      <c r="D1003" s="235"/>
      <c r="E1003" s="235"/>
      <c r="F1003" s="235"/>
      <c r="G1003" s="235"/>
      <c r="H1003" s="235"/>
      <c r="I1003" s="235"/>
      <c r="J1003" s="235"/>
      <c r="K1003" s="261"/>
      <c r="L1003" s="235"/>
      <c r="M1003" s="235"/>
      <c r="N1003" s="235"/>
      <c r="O1003" s="235"/>
      <c r="P1003" s="235"/>
      <c r="Q1003" s="298"/>
      <c r="R1003" s="234"/>
      <c r="S1003" s="235"/>
      <c r="T1003" s="235"/>
      <c r="U1003" s="235"/>
      <c r="V1003" s="235"/>
      <c r="W1003" s="235"/>
      <c r="X1003" s="235"/>
      <c r="Y1003" s="235"/>
      <c r="Z1003" s="235"/>
      <c r="AA1003" s="235"/>
    </row>
    <row r="1004" spans="1:27" ht="10.5" customHeight="1">
      <c r="A1004" s="235"/>
      <c r="B1004" s="235"/>
      <c r="C1004" s="235"/>
      <c r="D1004" s="235"/>
      <c r="E1004" s="235"/>
      <c r="F1004" s="235"/>
      <c r="G1004" s="235"/>
      <c r="H1004" s="235"/>
      <c r="I1004" s="235"/>
      <c r="J1004" s="235"/>
      <c r="L1004" s="235"/>
      <c r="M1004" s="235"/>
      <c r="N1004" s="235"/>
      <c r="O1004" s="235"/>
      <c r="P1004" s="235"/>
      <c r="Q1004" s="298"/>
      <c r="R1004" s="234"/>
      <c r="S1004" s="235"/>
      <c r="T1004" s="235"/>
      <c r="U1004" s="235"/>
      <c r="V1004" s="235"/>
      <c r="W1004" s="235"/>
      <c r="X1004" s="235"/>
      <c r="Y1004" s="235"/>
      <c r="Z1004" s="235"/>
      <c r="AA1004" s="235"/>
    </row>
    <row r="1005" spans="1:27" ht="15" customHeight="1">
      <c r="L1005" s="235"/>
      <c r="M1005" s="235"/>
    </row>
    <row r="1006" spans="1:27" ht="15" customHeight="1">
      <c r="M1006" s="235"/>
    </row>
  </sheetData>
  <mergeCells count="8">
    <mergeCell ref="I33:J33"/>
    <mergeCell ref="I44:J44"/>
    <mergeCell ref="A1:O1"/>
    <mergeCell ref="A2:O2"/>
    <mergeCell ref="A3:O3"/>
    <mergeCell ref="I20:J20"/>
    <mergeCell ref="B21:B30"/>
    <mergeCell ref="I31:J31"/>
  </mergeCells>
  <pageMargins left="0.16111111111111101" right="0.27152777777777798" top="9.7916666666666693E-2" bottom="9.7916666666666693E-2" header="0" footer="0"/>
  <pageSetup paperSize="9" scale="4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workbookViewId="0">
      <pane ySplit="1" topLeftCell="A2" activePane="bottomLeft" state="frozen"/>
      <selection activeCell="K29" sqref="K29"/>
      <selection pane="bottomLeft" activeCell="K29" sqref="K29"/>
    </sheetView>
  </sheetViews>
  <sheetFormatPr defaultColWidth="9" defaultRowHeight="15"/>
  <cols>
    <col min="1" max="1" width="9.6640625" customWidth="1"/>
    <col min="2" max="2" width="27" customWidth="1"/>
    <col min="3" max="3" width="8.75" customWidth="1"/>
    <col min="4" max="4" width="18.08203125" customWidth="1"/>
  </cols>
  <sheetData>
    <row r="1" spans="1:6">
      <c r="A1" s="127" t="s">
        <v>31</v>
      </c>
      <c r="B1" s="127" t="s">
        <v>54</v>
      </c>
      <c r="C1" s="127" t="s">
        <v>55</v>
      </c>
      <c r="D1" s="127" t="s">
        <v>56</v>
      </c>
    </row>
    <row r="2" spans="1:6" s="129" customFormat="1">
      <c r="A2" s="130" t="s">
        <v>71</v>
      </c>
      <c r="B2" s="130" t="s">
        <v>72</v>
      </c>
      <c r="C2" s="130" t="s">
        <v>59</v>
      </c>
      <c r="D2" s="130" t="s">
        <v>116</v>
      </c>
      <c r="F2" s="129" t="s">
        <v>59</v>
      </c>
    </row>
    <row r="3" spans="1:6" s="129" customFormat="1">
      <c r="A3" s="130" t="s">
        <v>121</v>
      </c>
      <c r="B3" s="130" t="s">
        <v>72</v>
      </c>
      <c r="C3" s="130" t="s">
        <v>59</v>
      </c>
      <c r="D3" s="130" t="s">
        <v>119</v>
      </c>
      <c r="F3" s="129" t="s">
        <v>59</v>
      </c>
    </row>
    <row r="4" spans="1:6" s="129" customFormat="1">
      <c r="A4" s="130" t="s">
        <v>73</v>
      </c>
      <c r="B4" s="130" t="s">
        <v>74</v>
      </c>
      <c r="C4" s="130" t="s">
        <v>62</v>
      </c>
      <c r="D4" s="130" t="s">
        <v>116</v>
      </c>
      <c r="F4" s="129" t="s">
        <v>62</v>
      </c>
    </row>
    <row r="5" spans="1:6" s="129" customFormat="1">
      <c r="A5" s="130" t="s">
        <v>123</v>
      </c>
      <c r="B5" s="130" t="s">
        <v>74</v>
      </c>
      <c r="C5" s="130" t="s">
        <v>62</v>
      </c>
      <c r="D5" s="130" t="s">
        <v>119</v>
      </c>
      <c r="F5" s="129" t="s">
        <v>62</v>
      </c>
    </row>
    <row r="6" spans="1:6" s="129" customFormat="1">
      <c r="A6" s="130" t="s">
        <v>75</v>
      </c>
      <c r="B6" s="130" t="s">
        <v>76</v>
      </c>
      <c r="C6" s="130" t="s">
        <v>59</v>
      </c>
      <c r="D6" s="130" t="s">
        <v>117</v>
      </c>
      <c r="F6" s="129" t="s">
        <v>59</v>
      </c>
    </row>
    <row r="7" spans="1:6" s="129" customFormat="1">
      <c r="A7" s="130" t="s">
        <v>125</v>
      </c>
      <c r="B7" s="130" t="s">
        <v>76</v>
      </c>
      <c r="C7" s="130" t="s">
        <v>59</v>
      </c>
      <c r="D7" s="130" t="s">
        <v>119</v>
      </c>
      <c r="F7" s="129" t="s">
        <v>59</v>
      </c>
    </row>
    <row r="8" spans="1:6" s="129" customFormat="1">
      <c r="A8" s="130" t="s">
        <v>78</v>
      </c>
      <c r="B8" s="130" t="s">
        <v>79</v>
      </c>
      <c r="C8" s="130" t="s">
        <v>59</v>
      </c>
      <c r="D8" s="130" t="s">
        <v>116</v>
      </c>
      <c r="F8" s="129" t="s">
        <v>59</v>
      </c>
    </row>
    <row r="9" spans="1:6" s="129" customFormat="1">
      <c r="A9" s="130" t="s">
        <v>124</v>
      </c>
      <c r="B9" s="130" t="s">
        <v>79</v>
      </c>
      <c r="C9" s="130" t="s">
        <v>59</v>
      </c>
      <c r="D9" s="130" t="s">
        <v>119</v>
      </c>
      <c r="F9" s="129" t="s">
        <v>59</v>
      </c>
    </row>
    <row r="10" spans="1:6" s="129" customFormat="1">
      <c r="A10" s="130" t="s">
        <v>80</v>
      </c>
      <c r="B10" s="130" t="s">
        <v>81</v>
      </c>
      <c r="C10" s="130" t="s">
        <v>59</v>
      </c>
      <c r="D10" s="130" t="s">
        <v>116</v>
      </c>
      <c r="F10" s="129" t="s">
        <v>59</v>
      </c>
    </row>
    <row r="11" spans="1:6" s="129" customFormat="1">
      <c r="A11" s="130" t="s">
        <v>122</v>
      </c>
      <c r="B11" s="130" t="s">
        <v>81</v>
      </c>
      <c r="C11" s="130" t="s">
        <v>59</v>
      </c>
      <c r="D11" s="130" t="s">
        <v>119</v>
      </c>
      <c r="F11" s="129" t="s">
        <v>59</v>
      </c>
    </row>
    <row r="12" spans="1:6" s="129" customFormat="1">
      <c r="A12" s="130" t="s">
        <v>82</v>
      </c>
      <c r="B12" s="130" t="s">
        <v>83</v>
      </c>
      <c r="C12" s="130" t="s">
        <v>59</v>
      </c>
      <c r="D12" s="130" t="s">
        <v>116</v>
      </c>
      <c r="F12" s="129" t="s">
        <v>59</v>
      </c>
    </row>
    <row r="13" spans="1:6" s="129" customFormat="1">
      <c r="A13" s="130" t="s">
        <v>126</v>
      </c>
      <c r="B13" s="130" t="s">
        <v>83</v>
      </c>
      <c r="C13" s="130" t="s">
        <v>59</v>
      </c>
      <c r="D13" s="130" t="s">
        <v>119</v>
      </c>
      <c r="F13" s="129" t="s">
        <v>59</v>
      </c>
    </row>
    <row r="14" spans="1:6" s="129" customFormat="1">
      <c r="A14" s="130" t="s">
        <v>84</v>
      </c>
      <c r="B14" s="130" t="s">
        <v>85</v>
      </c>
      <c r="C14" s="130" t="s">
        <v>62</v>
      </c>
      <c r="D14" s="130" t="s">
        <v>116</v>
      </c>
      <c r="F14" s="129" t="s">
        <v>62</v>
      </c>
    </row>
    <row r="15" spans="1:6" s="129" customFormat="1">
      <c r="A15" s="130" t="s">
        <v>128</v>
      </c>
      <c r="B15" s="130" t="s">
        <v>85</v>
      </c>
      <c r="C15" s="130" t="s">
        <v>62</v>
      </c>
      <c r="D15" s="130" t="s">
        <v>119</v>
      </c>
      <c r="F15" s="129" t="s">
        <v>62</v>
      </c>
    </row>
    <row r="16" spans="1:6" s="129" customFormat="1">
      <c r="A16" s="130" t="s">
        <v>86</v>
      </c>
      <c r="B16" s="130" t="s">
        <v>87</v>
      </c>
      <c r="C16" s="130" t="s">
        <v>59</v>
      </c>
      <c r="D16" s="130" t="s">
        <v>117</v>
      </c>
      <c r="F16" s="129" t="s">
        <v>59</v>
      </c>
    </row>
    <row r="17" spans="1:6" s="129" customFormat="1">
      <c r="A17" s="130" t="s">
        <v>130</v>
      </c>
      <c r="B17" s="130" t="s">
        <v>87</v>
      </c>
      <c r="C17" s="130" t="s">
        <v>59</v>
      </c>
      <c r="D17" s="130" t="s">
        <v>119</v>
      </c>
      <c r="F17" s="129" t="s">
        <v>59</v>
      </c>
    </row>
    <row r="18" spans="1:6" s="129" customFormat="1">
      <c r="A18" s="130" t="s">
        <v>89</v>
      </c>
      <c r="B18" s="130" t="s">
        <v>90</v>
      </c>
      <c r="C18" s="130" t="s">
        <v>59</v>
      </c>
      <c r="D18" s="130" t="s">
        <v>116</v>
      </c>
      <c r="F18" s="129" t="s">
        <v>59</v>
      </c>
    </row>
    <row r="19" spans="1:6" s="129" customFormat="1">
      <c r="A19" s="130" t="s">
        <v>129</v>
      </c>
      <c r="B19" s="130" t="s">
        <v>90</v>
      </c>
      <c r="C19" s="130" t="s">
        <v>59</v>
      </c>
      <c r="D19" s="130" t="s">
        <v>119</v>
      </c>
      <c r="F19" s="129" t="s">
        <v>59</v>
      </c>
    </row>
    <row r="20" spans="1:6" s="129" customFormat="1">
      <c r="A20" s="130" t="s">
        <v>91</v>
      </c>
      <c r="B20" s="130" t="s">
        <v>92</v>
      </c>
      <c r="C20" s="130" t="s">
        <v>59</v>
      </c>
      <c r="D20" s="130" t="s">
        <v>116</v>
      </c>
      <c r="F20" s="129" t="s">
        <v>59</v>
      </c>
    </row>
    <row r="21" spans="1:6" s="129" customFormat="1">
      <c r="A21" s="130" t="s">
        <v>127</v>
      </c>
      <c r="B21" s="130" t="s">
        <v>92</v>
      </c>
      <c r="C21" s="130" t="s">
        <v>59</v>
      </c>
      <c r="D21" s="130" t="s">
        <v>119</v>
      </c>
      <c r="F21" s="129" t="s">
        <v>59</v>
      </c>
    </row>
    <row r="22" spans="1:6" s="129" customFormat="1" ht="16">
      <c r="A22" s="128"/>
      <c r="B22" s="128"/>
      <c r="C22" s="128"/>
      <c r="D22" s="128"/>
    </row>
    <row r="23" spans="1:6" s="129" customFormat="1" ht="16">
      <c r="A23" s="128"/>
      <c r="B23" s="128"/>
      <c r="C23" s="128"/>
      <c r="D23" s="128"/>
    </row>
    <row r="24" spans="1:6" s="129" customFormat="1" ht="16">
      <c r="A24" s="128"/>
      <c r="B24" s="128"/>
      <c r="C24" s="128"/>
      <c r="D24" s="128"/>
    </row>
    <row r="25" spans="1:6" s="129" customFormat="1" ht="16">
      <c r="A25" s="128"/>
      <c r="B25" s="128"/>
      <c r="C25" s="128"/>
      <c r="D25" s="128"/>
    </row>
    <row r="26" spans="1:6" s="129" customFormat="1" ht="16">
      <c r="A26" s="128"/>
      <c r="B26" s="128"/>
      <c r="C26" s="128"/>
      <c r="D26" s="128"/>
    </row>
    <row r="27" spans="1:6" s="129" customFormat="1" ht="16">
      <c r="A27" s="128"/>
      <c r="B27" s="128"/>
      <c r="C27" s="128"/>
      <c r="D27" s="128"/>
    </row>
    <row r="28" spans="1:6" s="129" customFormat="1" ht="16">
      <c r="A28" s="128"/>
      <c r="B28" s="128"/>
      <c r="C28" s="128"/>
      <c r="D28" s="128"/>
    </row>
    <row r="29" spans="1:6" s="129" customFormat="1" ht="16">
      <c r="A29" s="128"/>
      <c r="B29" s="128"/>
      <c r="C29" s="128"/>
      <c r="D29" s="128"/>
    </row>
    <row r="30" spans="1:6" s="129" customFormat="1" ht="16">
      <c r="A30" s="128"/>
      <c r="B30" s="128"/>
      <c r="C30" s="128"/>
      <c r="D30" s="128"/>
    </row>
    <row r="31" spans="1:6" s="129" customFormat="1" ht="16">
      <c r="A31" s="128"/>
      <c r="B31" s="128"/>
      <c r="C31" s="128"/>
      <c r="D31" s="128"/>
    </row>
    <row r="32" spans="1:6" s="129" customForma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5D09-3317-4EAC-ABDA-E8A4E70FAA5E}">
  <dimension ref="A1:D31"/>
  <sheetViews>
    <sheetView workbookViewId="0">
      <selection activeCell="K29" sqref="K29"/>
    </sheetView>
  </sheetViews>
  <sheetFormatPr defaultRowHeight="15"/>
  <sheetData>
    <row r="1" spans="1:4" ht="15.5">
      <c r="A1" s="1" t="s">
        <v>31</v>
      </c>
      <c r="B1" s="1" t="s">
        <v>54</v>
      </c>
      <c r="C1" s="1" t="s">
        <v>55</v>
      </c>
      <c r="D1" s="1" t="s">
        <v>56</v>
      </c>
    </row>
    <row r="2" spans="1:4" ht="16">
      <c r="A2" s="2" t="s">
        <v>57</v>
      </c>
      <c r="B2" s="2" t="s">
        <v>58</v>
      </c>
      <c r="C2" s="2" t="s">
        <v>59</v>
      </c>
      <c r="D2" s="2" t="s">
        <v>116</v>
      </c>
    </row>
    <row r="3" spans="1:4" ht="16">
      <c r="A3" s="2" t="s">
        <v>60</v>
      </c>
      <c r="B3" s="2" t="s">
        <v>61</v>
      </c>
      <c r="C3" s="2" t="s">
        <v>62</v>
      </c>
      <c r="D3" s="2" t="s">
        <v>116</v>
      </c>
    </row>
    <row r="4" spans="1:4" ht="16">
      <c r="A4" s="2" t="s">
        <v>63</v>
      </c>
      <c r="B4" s="2" t="s">
        <v>64</v>
      </c>
      <c r="C4" s="2" t="s">
        <v>59</v>
      </c>
      <c r="D4" s="2" t="s">
        <v>117</v>
      </c>
    </row>
    <row r="5" spans="1:4" ht="16">
      <c r="A5" s="2" t="s">
        <v>65</v>
      </c>
      <c r="B5" s="2" t="s">
        <v>64</v>
      </c>
      <c r="C5" s="2" t="s">
        <v>59</v>
      </c>
      <c r="D5" s="2" t="s">
        <v>66</v>
      </c>
    </row>
    <row r="6" spans="1:4" ht="16">
      <c r="A6" s="2" t="s">
        <v>67</v>
      </c>
      <c r="B6" s="2" t="s">
        <v>68</v>
      </c>
      <c r="C6" s="2" t="s">
        <v>59</v>
      </c>
      <c r="D6" s="2" t="s">
        <v>116</v>
      </c>
    </row>
    <row r="7" spans="1:4" ht="16">
      <c r="A7" s="2" t="s">
        <v>69</v>
      </c>
      <c r="B7" s="2" t="s">
        <v>70</v>
      </c>
      <c r="C7" s="2" t="s">
        <v>59</v>
      </c>
      <c r="D7" s="2" t="s">
        <v>116</v>
      </c>
    </row>
    <row r="8" spans="1:4" ht="16">
      <c r="A8" s="3" t="s">
        <v>71</v>
      </c>
      <c r="B8" s="3" t="s">
        <v>72</v>
      </c>
      <c r="C8" s="3" t="s">
        <v>59</v>
      </c>
      <c r="D8" s="2" t="s">
        <v>116</v>
      </c>
    </row>
    <row r="9" spans="1:4" ht="16">
      <c r="A9" s="3" t="s">
        <v>73</v>
      </c>
      <c r="B9" s="3" t="s">
        <v>74</v>
      </c>
      <c r="C9" s="3" t="s">
        <v>62</v>
      </c>
      <c r="D9" s="2" t="s">
        <v>116</v>
      </c>
    </row>
    <row r="10" spans="1:4" ht="16">
      <c r="A10" s="3" t="s">
        <v>75</v>
      </c>
      <c r="B10" s="3" t="s">
        <v>76</v>
      </c>
      <c r="C10" s="3" t="s">
        <v>59</v>
      </c>
      <c r="D10" s="2" t="s">
        <v>117</v>
      </c>
    </row>
    <row r="11" spans="1:4" ht="16">
      <c r="A11" s="3" t="s">
        <v>78</v>
      </c>
      <c r="B11" s="3" t="s">
        <v>79</v>
      </c>
      <c r="C11" s="3" t="s">
        <v>59</v>
      </c>
      <c r="D11" s="2" t="s">
        <v>116</v>
      </c>
    </row>
    <row r="12" spans="1:4" ht="16">
      <c r="A12" s="3" t="s">
        <v>80</v>
      </c>
      <c r="B12" s="3" t="s">
        <v>81</v>
      </c>
      <c r="C12" s="3" t="s">
        <v>59</v>
      </c>
      <c r="D12" s="2" t="s">
        <v>116</v>
      </c>
    </row>
    <row r="13" spans="1:4" ht="16">
      <c r="A13" s="2" t="s">
        <v>82</v>
      </c>
      <c r="B13" s="2" t="s">
        <v>83</v>
      </c>
      <c r="C13" s="2" t="s">
        <v>59</v>
      </c>
      <c r="D13" s="2" t="s">
        <v>116</v>
      </c>
    </row>
    <row r="14" spans="1:4" ht="16">
      <c r="A14" s="2" t="s">
        <v>84</v>
      </c>
      <c r="B14" s="2" t="s">
        <v>85</v>
      </c>
      <c r="C14" s="2" t="s">
        <v>62</v>
      </c>
      <c r="D14" s="2" t="s">
        <v>116</v>
      </c>
    </row>
    <row r="15" spans="1:4" ht="16">
      <c r="A15" s="2" t="s">
        <v>86</v>
      </c>
      <c r="B15" s="2" t="s">
        <v>87</v>
      </c>
      <c r="C15" s="2" t="s">
        <v>59</v>
      </c>
      <c r="D15" s="2" t="s">
        <v>117</v>
      </c>
    </row>
    <row r="16" spans="1:4" ht="16">
      <c r="A16" s="2" t="s">
        <v>89</v>
      </c>
      <c r="B16" s="2" t="s">
        <v>90</v>
      </c>
      <c r="C16" s="2" t="s">
        <v>59</v>
      </c>
      <c r="D16" s="2" t="s">
        <v>116</v>
      </c>
    </row>
    <row r="17" spans="1:4" ht="16">
      <c r="A17" s="2" t="s">
        <v>91</v>
      </c>
      <c r="B17" s="2" t="s">
        <v>92</v>
      </c>
      <c r="C17" s="2" t="s">
        <v>59</v>
      </c>
      <c r="D17" s="2" t="s">
        <v>116</v>
      </c>
    </row>
    <row r="18" spans="1:4" ht="16">
      <c r="A18" s="3" t="s">
        <v>93</v>
      </c>
      <c r="B18" s="3" t="s">
        <v>94</v>
      </c>
      <c r="C18" s="3" t="s">
        <v>59</v>
      </c>
      <c r="D18" s="2" t="s">
        <v>116</v>
      </c>
    </row>
    <row r="19" spans="1:4" ht="16">
      <c r="A19" s="3" t="s">
        <v>95</v>
      </c>
      <c r="B19" s="3" t="s">
        <v>96</v>
      </c>
      <c r="C19" s="3" t="s">
        <v>62</v>
      </c>
      <c r="D19" s="2" t="s">
        <v>116</v>
      </c>
    </row>
    <row r="20" spans="1:4" ht="16">
      <c r="A20" s="3" t="s">
        <v>97</v>
      </c>
      <c r="B20" s="3" t="s">
        <v>98</v>
      </c>
      <c r="C20" s="3" t="s">
        <v>59</v>
      </c>
      <c r="D20" s="2" t="s">
        <v>117</v>
      </c>
    </row>
    <row r="21" spans="1:4" ht="16">
      <c r="A21" s="3" t="s">
        <v>99</v>
      </c>
      <c r="B21" s="3" t="s">
        <v>98</v>
      </c>
      <c r="C21" s="3" t="s">
        <v>59</v>
      </c>
      <c r="D21" s="3" t="s">
        <v>66</v>
      </c>
    </row>
    <row r="22" spans="1:4" ht="16">
      <c r="A22" s="3" t="s">
        <v>100</v>
      </c>
      <c r="B22" s="3" t="s">
        <v>101</v>
      </c>
      <c r="C22" s="3" t="s">
        <v>59</v>
      </c>
      <c r="D22" s="2" t="s">
        <v>116</v>
      </c>
    </row>
    <row r="23" spans="1:4" ht="16">
      <c r="A23" s="3" t="s">
        <v>102</v>
      </c>
      <c r="B23" s="3" t="s">
        <v>103</v>
      </c>
      <c r="C23" s="3" t="s">
        <v>59</v>
      </c>
      <c r="D23" s="2" t="s">
        <v>116</v>
      </c>
    </row>
    <row r="24" spans="1:4" ht="16">
      <c r="A24" s="2" t="s">
        <v>104</v>
      </c>
      <c r="B24" s="2" t="s">
        <v>105</v>
      </c>
      <c r="C24" s="2" t="s">
        <v>59</v>
      </c>
      <c r="D24" s="2" t="s">
        <v>116</v>
      </c>
    </row>
    <row r="25" spans="1:4" ht="16">
      <c r="A25" s="2" t="s">
        <v>106</v>
      </c>
      <c r="B25" s="2" t="s">
        <v>107</v>
      </c>
      <c r="C25" s="2" t="s">
        <v>62</v>
      </c>
      <c r="D25" s="2" t="s">
        <v>116</v>
      </c>
    </row>
    <row r="26" spans="1:4" ht="16">
      <c r="A26" s="2" t="s">
        <v>108</v>
      </c>
      <c r="B26" s="2" t="s">
        <v>109</v>
      </c>
      <c r="C26" s="2" t="s">
        <v>59</v>
      </c>
      <c r="D26" s="2" t="s">
        <v>117</v>
      </c>
    </row>
    <row r="27" spans="1:4" ht="16">
      <c r="A27" s="2" t="s">
        <v>110</v>
      </c>
      <c r="B27" s="2" t="s">
        <v>109</v>
      </c>
      <c r="C27" s="2" t="s">
        <v>59</v>
      </c>
      <c r="D27" s="2" t="s">
        <v>66</v>
      </c>
    </row>
    <row r="28" spans="1:4" ht="16">
      <c r="A28" s="2" t="s">
        <v>111</v>
      </c>
      <c r="B28" s="2" t="s">
        <v>112</v>
      </c>
      <c r="C28" s="2" t="s">
        <v>59</v>
      </c>
      <c r="D28" s="2" t="s">
        <v>116</v>
      </c>
    </row>
    <row r="29" spans="1:4" ht="16">
      <c r="A29" s="2" t="s">
        <v>113</v>
      </c>
      <c r="B29" s="2" t="s">
        <v>114</v>
      </c>
      <c r="C29" s="2" t="s">
        <v>59</v>
      </c>
      <c r="D29" s="2" t="s">
        <v>116</v>
      </c>
    </row>
    <row r="30" spans="1:4" ht="16">
      <c r="A30" s="3" t="s">
        <v>77</v>
      </c>
      <c r="B30" s="3" t="s">
        <v>76</v>
      </c>
      <c r="C30" s="3" t="s">
        <v>59</v>
      </c>
      <c r="D30" s="3" t="s">
        <v>66</v>
      </c>
    </row>
    <row r="31" spans="1:4" ht="16">
      <c r="A31" s="2" t="s">
        <v>88</v>
      </c>
      <c r="B31" s="2" t="s">
        <v>87</v>
      </c>
      <c r="C31" s="2" t="s">
        <v>59</v>
      </c>
      <c r="D31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Customs Invoice</vt:lpstr>
      <vt:lpstr>PL</vt:lpstr>
      <vt:lpstr>US Customs Invoice</vt:lpstr>
      <vt:lpstr>US Customs Invoice GOLD</vt:lpstr>
      <vt:lpstr>US Customs Invoice LABOR</vt:lpstr>
      <vt:lpstr>Customs Invoice NON MAKLON</vt:lpstr>
      <vt:lpstr>Int. Customs Invoice</vt:lpstr>
      <vt:lpstr>Sheet2</vt:lpstr>
      <vt:lpstr>Sheet3</vt:lpstr>
      <vt:lpstr>'Customs Invoice'!Print_Area</vt:lpstr>
      <vt:lpstr>'Customs Invoice NON MAKLON'!Print_Area</vt:lpstr>
      <vt:lpstr>'Int. Customs Invoice'!Print_Area</vt:lpstr>
      <vt:lpstr>PL!Print_Area</vt:lpstr>
      <vt:lpstr>'US Customs Invoice'!Print_Area</vt:lpstr>
      <vt:lpstr>'US Customs Invoice GOLD'!Print_Area</vt:lpstr>
      <vt:lpstr>'US Customs Invoice LABOR'!Print_Area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Jinwoo Lee</dc:creator>
  <cp:lastModifiedBy>Dzikry Syahrul</cp:lastModifiedBy>
  <cp:lastPrinted>2026-08-06T04:33:11Z</cp:lastPrinted>
  <dcterms:created xsi:type="dcterms:W3CDTF">2018-11-21T15:28:00Z</dcterms:created>
  <dcterms:modified xsi:type="dcterms:W3CDTF">2026-08-06T04:41:29Z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1033-12.2.0.19805</vt:lpwstr>
  </property>
  <property fmtid="{D5CDD505-2E9C-101B-9397-08002B2CF9AE}" pid="3" name="ICV">
    <vt:lpwstr>8F7A07542A734385820F72E14C77E9F4_13</vt:lpwstr>
  </property>
</Properties>
</file>